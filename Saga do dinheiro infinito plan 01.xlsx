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B74749DC-CFDC-4B35-B6DC-34DD5DA80B81}" xr6:coauthVersionLast="47" xr6:coauthVersionMax="47" xr10:uidLastSave="{00000000-0000-0000-0000-000000000000}"/>
  <bookViews>
    <workbookView xWindow="-108" yWindow="-108" windowWidth="23256" windowHeight="12456" activeTab="2" xr2:uid="{49B9F099-4E89-4441-A986-BE9EE2D8F7DD}"/>
  </bookViews>
  <sheets>
    <sheet name="FII's" sheetId="1" r:id="rId1"/>
    <sheet name="Dim" sheetId="3" r:id="rId2"/>
    <sheet name="ACOES" sheetId="4" r:id="rId3"/>
  </sheets>
  <definedNames>
    <definedName name="_xlnm._FilterDatabase" localSheetId="2" hidden="1">ACOES!$A$1:$Z$312</definedName>
    <definedName name="_xlnm._FilterDatabase" localSheetId="0" hidden="1">'FII''s'!$A$1:$S$531</definedName>
    <definedName name="DadosExternos_1" localSheetId="1" hidden="1">Dim!$A$1:$B$1526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4" l="1"/>
  <c r="V4" i="4"/>
  <c r="V95" i="4"/>
  <c r="V130" i="4"/>
  <c r="V209" i="4"/>
  <c r="V8" i="4"/>
  <c r="V304" i="4"/>
  <c r="V309" i="4"/>
  <c r="V68" i="4"/>
  <c r="V12" i="4"/>
  <c r="V19" i="4"/>
  <c r="V22" i="4"/>
  <c r="V86" i="4"/>
  <c r="V302" i="4"/>
  <c r="V17" i="4"/>
  <c r="V18" i="4"/>
  <c r="V65" i="4"/>
  <c r="V20" i="4"/>
  <c r="V33" i="4"/>
  <c r="V23" i="4"/>
  <c r="V76" i="4"/>
  <c r="V14" i="4"/>
  <c r="V25" i="4"/>
  <c r="V84" i="4"/>
  <c r="V103" i="4"/>
  <c r="V78" i="4"/>
  <c r="V15" i="4"/>
  <c r="V30" i="4"/>
  <c r="V164" i="4"/>
  <c r="V71" i="4"/>
  <c r="V32" i="4"/>
  <c r="V127" i="4"/>
  <c r="V111" i="4"/>
  <c r="V34" i="4"/>
  <c r="V136" i="4"/>
  <c r="V83" i="4"/>
  <c r="V193" i="4"/>
  <c r="V195" i="4"/>
  <c r="V192" i="4"/>
  <c r="V200" i="4"/>
  <c r="V204" i="4"/>
  <c r="V37" i="4"/>
  <c r="V45" i="4"/>
  <c r="V197" i="4"/>
  <c r="V47" i="4"/>
  <c r="V251" i="4"/>
  <c r="V49" i="4"/>
  <c r="V189" i="4"/>
  <c r="V252" i="4"/>
  <c r="V36" i="4"/>
  <c r="V53" i="4"/>
  <c r="V54" i="4"/>
  <c r="V29" i="4"/>
  <c r="V56" i="4"/>
  <c r="V191" i="4"/>
  <c r="V51" i="4"/>
  <c r="V42" i="4"/>
  <c r="V60" i="4"/>
  <c r="V39" i="4"/>
  <c r="V73" i="4"/>
  <c r="V46" i="4"/>
  <c r="V64" i="4"/>
  <c r="V74" i="4"/>
  <c r="V212" i="4"/>
  <c r="V100" i="4"/>
  <c r="V146" i="4"/>
  <c r="V48" i="4"/>
  <c r="V163" i="4"/>
  <c r="V180" i="4"/>
  <c r="V72" i="4"/>
  <c r="V125" i="4"/>
  <c r="V188" i="4"/>
  <c r="V94" i="4"/>
  <c r="V107" i="4"/>
  <c r="V235" i="4"/>
  <c r="V104" i="4"/>
  <c r="V79" i="4"/>
  <c r="V139" i="4"/>
  <c r="V63" i="4"/>
  <c r="V82" i="4"/>
  <c r="V203" i="4"/>
  <c r="V11" i="4"/>
  <c r="V151" i="4"/>
  <c r="V81" i="4"/>
  <c r="V224" i="4"/>
  <c r="V92" i="4"/>
  <c r="V247" i="4"/>
  <c r="V90" i="4"/>
  <c r="V211" i="4"/>
  <c r="V219" i="4"/>
  <c r="V140" i="4"/>
  <c r="V196" i="4"/>
  <c r="V77" i="4"/>
  <c r="V96" i="4"/>
  <c r="V194" i="4"/>
  <c r="V98" i="4"/>
  <c r="V99" i="4"/>
  <c r="V170" i="4"/>
  <c r="V238" i="4"/>
  <c r="V243" i="4"/>
  <c r="V87" i="4"/>
  <c r="V89" i="4"/>
  <c r="V105" i="4"/>
  <c r="V52" i="4"/>
  <c r="V119" i="4"/>
  <c r="V182" i="4"/>
  <c r="V186" i="4"/>
  <c r="V141" i="4"/>
  <c r="V80" i="4"/>
  <c r="V112" i="4"/>
  <c r="V124" i="4"/>
  <c r="V168" i="4"/>
  <c r="V115" i="4"/>
  <c r="V116" i="4"/>
  <c r="V117" i="4"/>
  <c r="V5" i="4"/>
  <c r="V110" i="4"/>
  <c r="V289" i="4"/>
  <c r="V292" i="4"/>
  <c r="V159" i="4"/>
  <c r="V123" i="4"/>
  <c r="V135" i="4"/>
  <c r="V10" i="4"/>
  <c r="V126" i="4"/>
  <c r="V6" i="4"/>
  <c r="V199" i="4"/>
  <c r="V264" i="4"/>
  <c r="V267" i="4"/>
  <c r="V131" i="4"/>
  <c r="V58" i="4"/>
  <c r="V57" i="4"/>
  <c r="V134" i="4"/>
  <c r="V278" i="4"/>
  <c r="V147" i="4"/>
  <c r="V61" i="4"/>
  <c r="V138" i="4"/>
  <c r="V260" i="4"/>
  <c r="V284" i="4"/>
  <c r="V308" i="4"/>
  <c r="V218" i="4"/>
  <c r="V143" i="4"/>
  <c r="V43" i="4"/>
  <c r="V227" i="4"/>
  <c r="V225" i="4"/>
  <c r="V263" i="4"/>
  <c r="V148" i="4"/>
  <c r="V266" i="4"/>
  <c r="V206" i="4"/>
  <c r="V62" i="4"/>
  <c r="V44" i="4"/>
  <c r="V114" i="4"/>
  <c r="V154" i="4"/>
  <c r="V50" i="4"/>
  <c r="V40" i="4"/>
  <c r="V303" i="4"/>
  <c r="V305" i="4"/>
  <c r="V290" i="4"/>
  <c r="V102" i="4"/>
  <c r="V201" i="4"/>
  <c r="V162" i="4"/>
  <c r="V137" i="4"/>
  <c r="V253" i="4"/>
  <c r="V165" i="4"/>
  <c r="V166" i="4"/>
  <c r="V101" i="4"/>
  <c r="V152" i="4"/>
  <c r="V169" i="4"/>
  <c r="V155" i="4"/>
  <c r="V171" i="4"/>
  <c r="V172" i="4"/>
  <c r="V173" i="4"/>
  <c r="V174" i="4"/>
  <c r="V175" i="4"/>
  <c r="V291" i="4"/>
  <c r="V177" i="4"/>
  <c r="V270" i="4"/>
  <c r="V271" i="4"/>
  <c r="V272" i="4"/>
  <c r="V273" i="4"/>
  <c r="V88" i="4"/>
  <c r="V183" i="4"/>
  <c r="V184" i="4"/>
  <c r="V185" i="4"/>
  <c r="V216" i="4"/>
  <c r="V223" i="4"/>
  <c r="V208" i="4"/>
  <c r="V248" i="4"/>
  <c r="V190" i="4"/>
  <c r="V109" i="4"/>
  <c r="V120" i="4"/>
  <c r="V97" i="4"/>
  <c r="V149" i="4"/>
  <c r="V122" i="4"/>
  <c r="V121" i="4"/>
  <c r="V256" i="4"/>
  <c r="V198" i="4"/>
  <c r="V265" i="4"/>
  <c r="V128" i="4"/>
  <c r="V280" i="4"/>
  <c r="V142" i="4"/>
  <c r="V24" i="4"/>
  <c r="V118" i="4"/>
  <c r="V26" i="4"/>
  <c r="V277" i="4"/>
  <c r="V207" i="4"/>
  <c r="V27" i="4"/>
  <c r="V250" i="4"/>
  <c r="V28" i="4"/>
  <c r="V35" i="4"/>
  <c r="V229" i="4"/>
  <c r="V213" i="4"/>
  <c r="V214" i="4"/>
  <c r="V215" i="4"/>
  <c r="V226" i="4"/>
  <c r="V307" i="4"/>
  <c r="V202" i="4"/>
  <c r="V222" i="4"/>
  <c r="V220" i="4"/>
  <c r="V221" i="4"/>
  <c r="V179" i="4"/>
  <c r="V246" i="4"/>
  <c r="V244" i="4"/>
  <c r="V286" i="4"/>
  <c r="V268" i="4"/>
  <c r="V69" i="4"/>
  <c r="V228" i="4"/>
  <c r="V242" i="4"/>
  <c r="V230" i="4"/>
  <c r="V67" i="4"/>
  <c r="V91" i="4"/>
  <c r="V233" i="4"/>
  <c r="V41" i="4"/>
  <c r="V298" i="4"/>
  <c r="V236" i="4"/>
  <c r="V237" i="4"/>
  <c r="V301" i="4"/>
  <c r="V2" i="4"/>
  <c r="V261" i="4"/>
  <c r="V144" i="4"/>
  <c r="V262" i="4"/>
  <c r="V13" i="4"/>
  <c r="V178" i="4"/>
  <c r="V299" i="4"/>
  <c r="V157" i="4"/>
  <c r="V187" i="4"/>
  <c r="V283" i="4"/>
  <c r="V106" i="4"/>
  <c r="V293" i="4"/>
  <c r="V167" i="4"/>
  <c r="V66" i="4"/>
  <c r="V210" i="4"/>
  <c r="V234" i="4"/>
  <c r="V255" i="4"/>
  <c r="V181" i="4"/>
  <c r="V257" i="4"/>
  <c r="V258" i="4"/>
  <c r="V306" i="4"/>
  <c r="V158" i="4"/>
  <c r="V108" i="4"/>
  <c r="V153" i="4"/>
  <c r="V150" i="4"/>
  <c r="V85" i="4"/>
  <c r="V297" i="4"/>
  <c r="V129" i="4"/>
  <c r="V132" i="4"/>
  <c r="V21" i="4"/>
  <c r="V245" i="4"/>
  <c r="V296" i="4"/>
  <c r="V145" i="4"/>
  <c r="V31" i="4"/>
  <c r="V113" i="4"/>
  <c r="V274" i="4"/>
  <c r="V275" i="4"/>
  <c r="V295" i="4"/>
  <c r="V16" i="4"/>
  <c r="V287" i="4"/>
  <c r="V281" i="4"/>
  <c r="V285" i="4"/>
  <c r="V259" i="4"/>
  <c r="V205" i="4"/>
  <c r="V176" i="4"/>
  <c r="V239" i="4"/>
  <c r="V240" i="4"/>
  <c r="V276" i="4"/>
  <c r="V231" i="4"/>
  <c r="V217" i="4"/>
  <c r="V282" i="4"/>
  <c r="V269" i="4"/>
  <c r="V232" i="4"/>
  <c r="V7" i="4"/>
  <c r="V249" i="4"/>
  <c r="V241" i="4"/>
  <c r="V254" i="4"/>
  <c r="V160" i="4"/>
  <c r="V133" i="4"/>
  <c r="V70" i="4"/>
  <c r="V55" i="4"/>
  <c r="V300" i="4"/>
  <c r="V294" i="4"/>
  <c r="V279" i="4"/>
  <c r="V156" i="4"/>
  <c r="V288" i="4"/>
  <c r="V161" i="4"/>
  <c r="V59" i="4"/>
  <c r="V75" i="4"/>
  <c r="V93" i="4"/>
  <c r="V38" i="4"/>
  <c r="V310" i="4"/>
  <c r="V311" i="4"/>
  <c r="V312" i="4"/>
  <c r="V9" i="4"/>
  <c r="B309" i="4"/>
  <c r="B308" i="4"/>
  <c r="B307" i="4"/>
  <c r="B306" i="4"/>
  <c r="B305" i="4"/>
  <c r="B304" i="4"/>
  <c r="B237" i="4"/>
  <c r="B255" i="4"/>
  <c r="B303" i="4"/>
  <c r="B302" i="4"/>
  <c r="B301" i="4"/>
  <c r="B175" i="4"/>
  <c r="B300" i="4"/>
  <c r="B299" i="4"/>
  <c r="B98" i="4"/>
  <c r="B298" i="4"/>
  <c r="B169" i="4"/>
  <c r="B173" i="4"/>
  <c r="W173" i="4" s="1"/>
  <c r="X173" i="4" s="1"/>
  <c r="B275" i="4"/>
  <c r="B297" i="4"/>
  <c r="B296" i="4"/>
  <c r="B274" i="4"/>
  <c r="B295" i="4"/>
  <c r="B294" i="4"/>
  <c r="B174" i="4"/>
  <c r="B293" i="4"/>
  <c r="B292" i="4"/>
  <c r="B291" i="4"/>
  <c r="B290" i="4"/>
  <c r="B289" i="4"/>
  <c r="B288" i="4"/>
  <c r="B287" i="4"/>
  <c r="B233" i="4"/>
  <c r="B286" i="4"/>
  <c r="B60" i="4"/>
  <c r="B285" i="4"/>
  <c r="B172" i="4"/>
  <c r="B54" i="4"/>
  <c r="B171" i="4"/>
  <c r="B162" i="4"/>
  <c r="B165" i="4"/>
  <c r="B284" i="4"/>
  <c r="B282" i="4"/>
  <c r="B283" i="4"/>
  <c r="B281" i="4"/>
  <c r="B280" i="4"/>
  <c r="B279" i="4"/>
  <c r="B278" i="4"/>
  <c r="B277" i="4"/>
  <c r="B276" i="4"/>
  <c r="B272" i="4"/>
  <c r="B273" i="4"/>
  <c r="B270" i="4"/>
  <c r="B271" i="4"/>
  <c r="B269" i="4"/>
  <c r="B268" i="4"/>
  <c r="B267" i="4"/>
  <c r="B266" i="4"/>
  <c r="B265" i="4"/>
  <c r="B264" i="4"/>
  <c r="B263" i="4"/>
  <c r="B30" i="4"/>
  <c r="B262" i="4"/>
  <c r="B261" i="4"/>
  <c r="B260" i="4"/>
  <c r="B259" i="4"/>
  <c r="W259" i="4" s="1"/>
  <c r="X259" i="4" s="1"/>
  <c r="B256" i="4"/>
  <c r="W256" i="4" s="1"/>
  <c r="X256" i="4" s="1"/>
  <c r="B254" i="4"/>
  <c r="B253" i="4"/>
  <c r="W253" i="4" s="1"/>
  <c r="X253" i="4" s="1"/>
  <c r="B252" i="4"/>
  <c r="B230" i="4"/>
  <c r="B251" i="4"/>
  <c r="B250" i="4"/>
  <c r="B249" i="4"/>
  <c r="B248" i="4"/>
  <c r="B247" i="4"/>
  <c r="B246" i="4"/>
  <c r="B245" i="4"/>
  <c r="B244" i="4"/>
  <c r="B154" i="4"/>
  <c r="B243" i="4"/>
  <c r="B115" i="4"/>
  <c r="B242" i="4"/>
  <c r="W242" i="4" s="1"/>
  <c r="X242" i="4" s="1"/>
  <c r="B105" i="4"/>
  <c r="B126" i="4"/>
  <c r="B241" i="4"/>
  <c r="B228" i="4"/>
  <c r="B220" i="4"/>
  <c r="B143" i="4"/>
  <c r="B238" i="4"/>
  <c r="B239" i="4"/>
  <c r="B240" i="4"/>
  <c r="B235" i="4"/>
  <c r="B234" i="4"/>
  <c r="B232" i="4"/>
  <c r="W232" i="4" s="1"/>
  <c r="X232" i="4" s="1"/>
  <c r="B231" i="4"/>
  <c r="B229" i="4"/>
  <c r="B227" i="4"/>
  <c r="B226" i="4"/>
  <c r="B56" i="4"/>
  <c r="B225" i="4"/>
  <c r="B224" i="4"/>
  <c r="B223" i="4"/>
  <c r="B222" i="4"/>
  <c r="W222" i="4" s="1"/>
  <c r="X222" i="4" s="1"/>
  <c r="B219" i="4"/>
  <c r="W219" i="4" s="1"/>
  <c r="X219" i="4" s="1"/>
  <c r="B166" i="4"/>
  <c r="B218" i="4"/>
  <c r="B99" i="4"/>
  <c r="B216" i="4"/>
  <c r="B217" i="4"/>
  <c r="B212" i="4"/>
  <c r="B117" i="4"/>
  <c r="B312" i="4"/>
  <c r="B211" i="4"/>
  <c r="B116" i="4"/>
  <c r="B148" i="4"/>
  <c r="W148" i="4" s="1"/>
  <c r="X148" i="4" s="1"/>
  <c r="B209" i="4"/>
  <c r="B210" i="4"/>
  <c r="W210" i="4" s="1"/>
  <c r="X210" i="4" s="1"/>
  <c r="B112" i="4"/>
  <c r="B208" i="4"/>
  <c r="B131" i="4"/>
  <c r="B206" i="4"/>
  <c r="B205" i="4"/>
  <c r="B204" i="4"/>
  <c r="B311" i="4"/>
  <c r="B17" i="4"/>
  <c r="B203" i="4"/>
  <c r="B90" i="4"/>
  <c r="B198" i="4"/>
  <c r="B310" i="4"/>
  <c r="B202" i="4"/>
  <c r="B183" i="4"/>
  <c r="B138" i="4"/>
  <c r="B201" i="4"/>
  <c r="B96" i="4"/>
  <c r="B221" i="4"/>
  <c r="B53" i="4"/>
  <c r="B200" i="4"/>
  <c r="B199" i="4"/>
  <c r="B197" i="4"/>
  <c r="B196" i="4"/>
  <c r="B195" i="4"/>
  <c r="B193" i="4"/>
  <c r="B194" i="4"/>
  <c r="B192" i="4"/>
  <c r="B191" i="4"/>
  <c r="B189" i="4"/>
  <c r="B188" i="4"/>
  <c r="B187" i="4"/>
  <c r="B18" i="4"/>
  <c r="B186" i="4"/>
  <c r="B182" i="4"/>
  <c r="B181" i="4"/>
  <c r="B64" i="4"/>
  <c r="B180" i="4"/>
  <c r="B179" i="4"/>
  <c r="B178" i="4"/>
  <c r="W178" i="4" s="1"/>
  <c r="B176" i="4"/>
  <c r="B170" i="4"/>
  <c r="W170" i="4" s="1"/>
  <c r="X170" i="4" s="1"/>
  <c r="B168" i="4"/>
  <c r="B167" i="4"/>
  <c r="W167" i="4" s="1"/>
  <c r="X167" i="4" s="1"/>
  <c r="B164" i="4"/>
  <c r="B163" i="4"/>
  <c r="B161" i="4"/>
  <c r="W161" i="4" s="1"/>
  <c r="X161" i="4" s="1"/>
  <c r="Z161" i="4" s="1"/>
  <c r="B160" i="4"/>
  <c r="B159" i="4"/>
  <c r="B236" i="4"/>
  <c r="B158" i="4"/>
  <c r="B157" i="4"/>
  <c r="B156" i="4"/>
  <c r="B155" i="4"/>
  <c r="B153" i="4"/>
  <c r="B152" i="4"/>
  <c r="B151" i="4"/>
  <c r="B150" i="4"/>
  <c r="B147" i="4"/>
  <c r="B149" i="4"/>
  <c r="B146" i="4"/>
  <c r="B145" i="4"/>
  <c r="B144" i="4"/>
  <c r="B142" i="4"/>
  <c r="B123" i="4"/>
  <c r="B141" i="4"/>
  <c r="W141" i="4" s="1"/>
  <c r="X141" i="4" s="1"/>
  <c r="B49" i="4"/>
  <c r="B139" i="4"/>
  <c r="B140" i="4"/>
  <c r="B45" i="4"/>
  <c r="B137" i="4"/>
  <c r="B136" i="4"/>
  <c r="B135" i="4"/>
  <c r="B133" i="4"/>
  <c r="B132" i="4"/>
  <c r="B130" i="4"/>
  <c r="B129" i="4"/>
  <c r="B128" i="4"/>
  <c r="B82" i="4"/>
  <c r="B127" i="4"/>
  <c r="B125" i="4"/>
  <c r="B124" i="4"/>
  <c r="B122" i="4"/>
  <c r="W122" i="4" s="1"/>
  <c r="X122" i="4" s="1"/>
  <c r="B20" i="4"/>
  <c r="W20" i="4" s="1"/>
  <c r="X20" i="4" s="1"/>
  <c r="B121" i="4"/>
  <c r="B120" i="4"/>
  <c r="B119" i="4"/>
  <c r="B118" i="4"/>
  <c r="B114" i="4"/>
  <c r="B113" i="4"/>
  <c r="B111" i="4"/>
  <c r="B110" i="4"/>
  <c r="B109" i="4"/>
  <c r="B108" i="4"/>
  <c r="B107" i="4"/>
  <c r="W107" i="4" s="1"/>
  <c r="X107" i="4" s="1"/>
  <c r="B106" i="4"/>
  <c r="B104" i="4"/>
  <c r="B103" i="4"/>
  <c r="B102" i="4"/>
  <c r="B177" i="4"/>
  <c r="B190" i="4"/>
  <c r="B101" i="4"/>
  <c r="B100" i="4"/>
  <c r="B97" i="4"/>
  <c r="B95" i="4"/>
  <c r="B94" i="4"/>
  <c r="B93" i="4"/>
  <c r="B92" i="4"/>
  <c r="B91" i="4"/>
  <c r="B89" i="4"/>
  <c r="B25" i="4"/>
  <c r="B88" i="4"/>
  <c r="B87" i="4"/>
  <c r="B86" i="4"/>
  <c r="B85" i="4"/>
  <c r="B84" i="4"/>
  <c r="B83" i="4"/>
  <c r="B81" i="4"/>
  <c r="B80" i="4"/>
  <c r="B78" i="4"/>
  <c r="W78" i="4" s="1"/>
  <c r="X78" i="4" s="1"/>
  <c r="B257" i="4"/>
  <c r="B77" i="4"/>
  <c r="B185" i="4"/>
  <c r="B76" i="4"/>
  <c r="B184" i="4"/>
  <c r="B75" i="4"/>
  <c r="B74" i="4"/>
  <c r="B134" i="4"/>
  <c r="B73" i="4"/>
  <c r="W73" i="4" s="1"/>
  <c r="X73" i="4" s="1"/>
  <c r="B71" i="4"/>
  <c r="B12" i="4"/>
  <c r="B70" i="4"/>
  <c r="W70" i="4" s="1"/>
  <c r="X70" i="4" s="1"/>
  <c r="Y70" i="4" s="1"/>
  <c r="B69" i="4"/>
  <c r="B68" i="4"/>
  <c r="B67" i="4"/>
  <c r="B66" i="4"/>
  <c r="B65" i="4"/>
  <c r="B63" i="4"/>
  <c r="B62" i="4"/>
  <c r="B61" i="4"/>
  <c r="B59" i="4"/>
  <c r="B58" i="4"/>
  <c r="B57" i="4"/>
  <c r="B55" i="4"/>
  <c r="W55" i="4" s="1"/>
  <c r="X55" i="4" s="1"/>
  <c r="B52" i="4"/>
  <c r="B72" i="4"/>
  <c r="B50" i="4"/>
  <c r="B51" i="4"/>
  <c r="B48" i="4"/>
  <c r="B46" i="4"/>
  <c r="B44" i="4"/>
  <c r="B43" i="4"/>
  <c r="B42" i="4"/>
  <c r="B4" i="4"/>
  <c r="B41" i="4"/>
  <c r="B40" i="4"/>
  <c r="B39" i="4"/>
  <c r="B38" i="4"/>
  <c r="B37" i="4"/>
  <c r="W37" i="4" s="1"/>
  <c r="X37" i="4" s="1"/>
  <c r="B36" i="4"/>
  <c r="B35" i="4"/>
  <c r="W35" i="4" s="1"/>
  <c r="X35" i="4" s="1"/>
  <c r="B3" i="4"/>
  <c r="B34" i="4"/>
  <c r="B33" i="4"/>
  <c r="B32" i="4"/>
  <c r="B79" i="4"/>
  <c r="B258" i="4"/>
  <c r="B31" i="4"/>
  <c r="B8" i="4"/>
  <c r="B29" i="4"/>
  <c r="B28" i="4"/>
  <c r="B27" i="4"/>
  <c r="B26" i="4"/>
  <c r="W26" i="4" s="1"/>
  <c r="X26" i="4" s="1"/>
  <c r="B24" i="4"/>
  <c r="B23" i="4"/>
  <c r="B22" i="4"/>
  <c r="B21" i="4"/>
  <c r="B19" i="4"/>
  <c r="B16" i="4"/>
  <c r="W16" i="4" s="1"/>
  <c r="X16" i="4" s="1"/>
  <c r="Y16" i="4" s="1"/>
  <c r="B15" i="4"/>
  <c r="B14" i="4"/>
  <c r="B13" i="4"/>
  <c r="B11" i="4"/>
  <c r="W11" i="4" s="1"/>
  <c r="X11" i="4" s="1"/>
  <c r="B10" i="4"/>
  <c r="B9" i="4"/>
  <c r="B47" i="4"/>
  <c r="B214" i="4"/>
  <c r="B215" i="4"/>
  <c r="B207" i="4"/>
  <c r="B7" i="4"/>
  <c r="B6" i="4"/>
  <c r="B5" i="4"/>
  <c r="B2" i="4"/>
  <c r="B213" i="4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83" i="1"/>
  <c r="S278" i="1"/>
  <c r="S284" i="1"/>
  <c r="S280" i="1"/>
  <c r="S281" i="1"/>
  <c r="S282" i="1"/>
  <c r="S286" i="1"/>
  <c r="S288" i="1"/>
  <c r="S285" i="1"/>
  <c r="S290" i="1"/>
  <c r="S287" i="1"/>
  <c r="S292" i="1"/>
  <c r="S289" i="1"/>
  <c r="S295" i="1"/>
  <c r="S291" i="1"/>
  <c r="S296" i="1"/>
  <c r="S293" i="1"/>
  <c r="S294" i="1"/>
  <c r="S297" i="1"/>
  <c r="S298" i="1"/>
  <c r="S299" i="1"/>
  <c r="S300" i="1"/>
  <c r="S302" i="1"/>
  <c r="S303" i="1"/>
  <c r="S301" i="1"/>
  <c r="S304" i="1"/>
  <c r="S305" i="1"/>
  <c r="S306" i="1"/>
  <c r="S307" i="1"/>
  <c r="S308" i="1"/>
  <c r="S309" i="1"/>
  <c r="S310" i="1"/>
  <c r="S311" i="1"/>
  <c r="S315" i="1"/>
  <c r="S316" i="1"/>
  <c r="S312" i="1"/>
  <c r="S313" i="1"/>
  <c r="S314" i="1"/>
  <c r="S320" i="1"/>
  <c r="S322" i="1"/>
  <c r="S317" i="1"/>
  <c r="S318" i="1"/>
  <c r="S319" i="1"/>
  <c r="S326" i="1"/>
  <c r="S321" i="1"/>
  <c r="S327" i="1"/>
  <c r="S323" i="1"/>
  <c r="S324" i="1"/>
  <c r="S325" i="1"/>
  <c r="S329" i="1"/>
  <c r="S330" i="1"/>
  <c r="S328" i="1"/>
  <c r="S331" i="1"/>
  <c r="S335" i="1"/>
  <c r="S340" i="1"/>
  <c r="S332" i="1"/>
  <c r="S333" i="1"/>
  <c r="S334" i="1"/>
  <c r="S344" i="1"/>
  <c r="S336" i="1"/>
  <c r="S337" i="1"/>
  <c r="S338" i="1"/>
  <c r="S339" i="1"/>
  <c r="S345" i="1"/>
  <c r="S341" i="1"/>
  <c r="S342" i="1"/>
  <c r="S343" i="1"/>
  <c r="S346" i="1"/>
  <c r="S348" i="1"/>
  <c r="S354" i="1"/>
  <c r="S347" i="1"/>
  <c r="S357" i="1"/>
  <c r="S349" i="1"/>
  <c r="S350" i="1"/>
  <c r="S351" i="1"/>
  <c r="S352" i="1"/>
  <c r="S353" i="1"/>
  <c r="S359" i="1"/>
  <c r="S355" i="1"/>
  <c r="S356" i="1"/>
  <c r="S362" i="1"/>
  <c r="S358" i="1"/>
  <c r="S363" i="1"/>
  <c r="S360" i="1"/>
  <c r="S361" i="1"/>
  <c r="S364" i="1"/>
  <c r="S365" i="1"/>
  <c r="S367" i="1"/>
  <c r="S368" i="1"/>
  <c r="S366" i="1"/>
  <c r="S369" i="1"/>
  <c r="S380" i="1"/>
  <c r="S387" i="1"/>
  <c r="S370" i="1"/>
  <c r="S371" i="1"/>
  <c r="S372" i="1"/>
  <c r="S373" i="1"/>
  <c r="S374" i="1"/>
  <c r="S375" i="1"/>
  <c r="S376" i="1"/>
  <c r="S377" i="1"/>
  <c r="S378" i="1"/>
  <c r="S379" i="1"/>
  <c r="S390" i="1"/>
  <c r="S381" i="1"/>
  <c r="S382" i="1"/>
  <c r="S383" i="1"/>
  <c r="S384" i="1"/>
  <c r="S385" i="1"/>
  <c r="S386" i="1"/>
  <c r="S391" i="1"/>
  <c r="S388" i="1"/>
  <c r="S389" i="1"/>
  <c r="S395" i="1"/>
  <c r="S396" i="1"/>
  <c r="S392" i="1"/>
  <c r="S393" i="1"/>
  <c r="S394" i="1"/>
  <c r="S397" i="1"/>
  <c r="S398" i="1"/>
  <c r="S408" i="1"/>
  <c r="S419" i="1"/>
  <c r="S399" i="1"/>
  <c r="S400" i="1"/>
  <c r="S401" i="1"/>
  <c r="S402" i="1"/>
  <c r="S403" i="1"/>
  <c r="S404" i="1"/>
  <c r="S405" i="1"/>
  <c r="S406" i="1"/>
  <c r="S407" i="1"/>
  <c r="S428" i="1"/>
  <c r="S409" i="1"/>
  <c r="S410" i="1"/>
  <c r="S411" i="1"/>
  <c r="S412" i="1"/>
  <c r="S413" i="1"/>
  <c r="S414" i="1"/>
  <c r="S415" i="1"/>
  <c r="S416" i="1"/>
  <c r="S417" i="1"/>
  <c r="S418" i="1"/>
  <c r="S429" i="1"/>
  <c r="S420" i="1"/>
  <c r="S421" i="1"/>
  <c r="S422" i="1"/>
  <c r="S423" i="1"/>
  <c r="S424" i="1"/>
  <c r="S425" i="1"/>
  <c r="S426" i="1"/>
  <c r="S427" i="1"/>
  <c r="S430" i="1"/>
  <c r="S431" i="1"/>
  <c r="S277" i="1"/>
  <c r="S434" i="1"/>
  <c r="S432" i="1"/>
  <c r="S433" i="1"/>
  <c r="S437" i="1"/>
  <c r="S435" i="1"/>
  <c r="S436" i="1"/>
  <c r="S438" i="1"/>
  <c r="S446" i="1"/>
  <c r="S439" i="1"/>
  <c r="S440" i="1"/>
  <c r="S441" i="1"/>
  <c r="S442" i="1"/>
  <c r="S443" i="1"/>
  <c r="S444" i="1"/>
  <c r="S445" i="1"/>
  <c r="S447" i="1"/>
  <c r="S279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2" i="1"/>
  <c r="N531" i="1"/>
  <c r="C531" i="1"/>
  <c r="C3" i="1"/>
  <c r="C283" i="1"/>
  <c r="C284" i="1"/>
  <c r="C47" i="1"/>
  <c r="C7" i="1"/>
  <c r="C286" i="1"/>
  <c r="C288" i="1"/>
  <c r="C132" i="1"/>
  <c r="C11" i="1"/>
  <c r="C169" i="1"/>
  <c r="C13" i="1"/>
  <c r="C175" i="1"/>
  <c r="C290" i="1"/>
  <c r="C22" i="1"/>
  <c r="C292" i="1"/>
  <c r="C18" i="1"/>
  <c r="C122" i="1"/>
  <c r="C20" i="1"/>
  <c r="C289" i="1"/>
  <c r="C274" i="1"/>
  <c r="C200" i="1"/>
  <c r="C179" i="1"/>
  <c r="C295" i="1"/>
  <c r="C26" i="1"/>
  <c r="C27" i="1"/>
  <c r="C28" i="1"/>
  <c r="C171" i="1"/>
  <c r="C296" i="1"/>
  <c r="C31" i="1"/>
  <c r="C32" i="1"/>
  <c r="C33" i="1"/>
  <c r="C193" i="1"/>
  <c r="C297" i="1"/>
  <c r="C36" i="1"/>
  <c r="C298" i="1"/>
  <c r="C299" i="1"/>
  <c r="C39" i="1"/>
  <c r="C40" i="1"/>
  <c r="C41" i="1"/>
  <c r="C42" i="1"/>
  <c r="C300" i="1"/>
  <c r="C195" i="1"/>
  <c r="C45" i="1"/>
  <c r="C46" i="1"/>
  <c r="C302" i="1"/>
  <c r="C303" i="1"/>
  <c r="C49" i="1"/>
  <c r="C50" i="1"/>
  <c r="C304" i="1"/>
  <c r="C67" i="1"/>
  <c r="C305" i="1"/>
  <c r="C54" i="1"/>
  <c r="C55" i="1"/>
  <c r="C56" i="1"/>
  <c r="C57" i="1"/>
  <c r="C306" i="1"/>
  <c r="C59" i="1"/>
  <c r="C60" i="1"/>
  <c r="C307" i="1"/>
  <c r="C62" i="1"/>
  <c r="C63" i="1"/>
  <c r="C308" i="1"/>
  <c r="C65" i="1"/>
  <c r="C66" i="1"/>
  <c r="C277" i="1"/>
  <c r="C309" i="1"/>
  <c r="C115" i="1"/>
  <c r="C70" i="1"/>
  <c r="C71" i="1"/>
  <c r="C72" i="1"/>
  <c r="C73" i="1"/>
  <c r="C74" i="1"/>
  <c r="C75" i="1"/>
  <c r="C76" i="1"/>
  <c r="C91" i="1"/>
  <c r="C78" i="1"/>
  <c r="C79" i="1"/>
  <c r="C268" i="1"/>
  <c r="C4" i="1"/>
  <c r="C279" i="1"/>
  <c r="C310" i="1"/>
  <c r="C84" i="1"/>
  <c r="C85" i="1"/>
  <c r="C86" i="1"/>
  <c r="C87" i="1"/>
  <c r="C88" i="1"/>
  <c r="C89" i="1"/>
  <c r="C266" i="1"/>
  <c r="C311" i="1"/>
  <c r="C315" i="1"/>
  <c r="C316" i="1"/>
  <c r="C16" i="1"/>
  <c r="C95" i="1"/>
  <c r="C48" i="1"/>
  <c r="C181" i="1"/>
  <c r="C182" i="1"/>
  <c r="C23" i="1"/>
  <c r="C100" i="1"/>
  <c r="C101" i="1"/>
  <c r="C225" i="1"/>
  <c r="C103" i="1"/>
  <c r="C104" i="1"/>
  <c r="C105" i="1"/>
  <c r="C106" i="1"/>
  <c r="C107" i="1"/>
  <c r="C108" i="1"/>
  <c r="C109" i="1"/>
  <c r="C164" i="1"/>
  <c r="C15" i="1"/>
  <c r="C232" i="1"/>
  <c r="C191" i="1"/>
  <c r="C5" i="1"/>
  <c r="C314" i="1"/>
  <c r="C320" i="1"/>
  <c r="C117" i="1"/>
  <c r="C208" i="1"/>
  <c r="C322" i="1"/>
  <c r="C211" i="1"/>
  <c r="C121" i="1"/>
  <c r="C14" i="1"/>
  <c r="C123" i="1"/>
  <c r="C124" i="1"/>
  <c r="C326" i="1"/>
  <c r="C43" i="1"/>
  <c r="C327" i="1"/>
  <c r="C157" i="1"/>
  <c r="C129" i="1"/>
  <c r="C130" i="1"/>
  <c r="C131" i="1"/>
  <c r="C325" i="1"/>
  <c r="C51" i="1"/>
  <c r="C134" i="1"/>
  <c r="C135" i="1"/>
  <c r="C136" i="1"/>
  <c r="C137" i="1"/>
  <c r="C329" i="1"/>
  <c r="C330" i="1"/>
  <c r="C111" i="1"/>
  <c r="C141" i="1"/>
  <c r="C142" i="1"/>
  <c r="C143" i="1"/>
  <c r="C144" i="1"/>
  <c r="C328" i="1"/>
  <c r="C331" i="1"/>
  <c r="C147" i="1"/>
  <c r="C335" i="1"/>
  <c r="C149" i="1"/>
  <c r="C9" i="1"/>
  <c r="C151" i="1"/>
  <c r="C152" i="1"/>
  <c r="C153" i="1"/>
  <c r="C340" i="1"/>
  <c r="C83" i="1"/>
  <c r="C156" i="1"/>
  <c r="C334" i="1"/>
  <c r="C158" i="1"/>
  <c r="C155" i="1"/>
  <c r="C160" i="1"/>
  <c r="C161" i="1"/>
  <c r="C344" i="1"/>
  <c r="C64" i="1"/>
  <c r="C96" i="1"/>
  <c r="C345" i="1"/>
  <c r="C166" i="1"/>
  <c r="C167" i="1"/>
  <c r="C168" i="1"/>
  <c r="C346" i="1"/>
  <c r="C170" i="1"/>
  <c r="C44" i="1"/>
  <c r="C172" i="1"/>
  <c r="C173" i="1"/>
  <c r="C174" i="1"/>
  <c r="C348" i="1"/>
  <c r="C133" i="1"/>
  <c r="C178" i="1"/>
  <c r="C61" i="1"/>
  <c r="C354" i="1"/>
  <c r="C180" i="1"/>
  <c r="C357" i="1"/>
  <c r="C359" i="1"/>
  <c r="C183" i="1"/>
  <c r="C184" i="1"/>
  <c r="C185" i="1"/>
  <c r="C186" i="1"/>
  <c r="C362" i="1"/>
  <c r="C363" i="1"/>
  <c r="C189" i="1"/>
  <c r="C190" i="1"/>
  <c r="C8" i="1"/>
  <c r="C192" i="1"/>
  <c r="C206" i="1"/>
  <c r="C34" i="1"/>
  <c r="C94" i="1"/>
  <c r="C10" i="1"/>
  <c r="C197" i="1"/>
  <c r="C360" i="1"/>
  <c r="C199" i="1"/>
  <c r="C364" i="1"/>
  <c r="C201" i="1"/>
  <c r="C202" i="1"/>
  <c r="C203" i="1"/>
  <c r="C204" i="1"/>
  <c r="C205" i="1"/>
  <c r="C93" i="1"/>
  <c r="C365" i="1"/>
  <c r="C2" i="1"/>
  <c r="C209" i="1"/>
  <c r="C210" i="1"/>
  <c r="C229" i="1"/>
  <c r="C119" i="1"/>
  <c r="C213" i="1"/>
  <c r="C214" i="1"/>
  <c r="C215" i="1"/>
  <c r="C216" i="1"/>
  <c r="C217" i="1"/>
  <c r="C218" i="1"/>
  <c r="C219" i="1"/>
  <c r="C220" i="1"/>
  <c r="C221" i="1"/>
  <c r="C222" i="1"/>
  <c r="C162" i="1"/>
  <c r="C231" i="1"/>
  <c r="C163" i="1"/>
  <c r="C226" i="1"/>
  <c r="C367" i="1"/>
  <c r="C228" i="1"/>
  <c r="C368" i="1"/>
  <c r="C366" i="1"/>
  <c r="C369" i="1"/>
  <c r="C380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387" i="1"/>
  <c r="C187" i="1"/>
  <c r="C146" i="1"/>
  <c r="C252" i="1"/>
  <c r="C116" i="1"/>
  <c r="C254" i="1"/>
  <c r="C255" i="1"/>
  <c r="C256" i="1"/>
  <c r="C257" i="1"/>
  <c r="C370" i="1"/>
  <c r="C196" i="1"/>
  <c r="C260" i="1"/>
  <c r="C261" i="1"/>
  <c r="C262" i="1"/>
  <c r="C263" i="1"/>
  <c r="C264" i="1"/>
  <c r="C265" i="1"/>
  <c r="C276" i="1"/>
  <c r="C267" i="1"/>
  <c r="C102" i="1"/>
  <c r="C269" i="1"/>
  <c r="C270" i="1"/>
  <c r="C271" i="1"/>
  <c r="C272" i="1"/>
  <c r="C273" i="1"/>
  <c r="C372" i="1"/>
  <c r="C376" i="1"/>
  <c r="C390" i="1"/>
  <c r="C139" i="1"/>
  <c r="C278" i="1"/>
  <c r="C383" i="1"/>
  <c r="C280" i="1"/>
  <c r="C281" i="1"/>
  <c r="C282" i="1"/>
  <c r="C17" i="1"/>
  <c r="C391" i="1"/>
  <c r="C285" i="1"/>
  <c r="C395" i="1"/>
  <c r="C287" i="1"/>
  <c r="C396" i="1"/>
  <c r="C110" i="1"/>
  <c r="C397" i="1"/>
  <c r="C291" i="1"/>
  <c r="C398" i="1"/>
  <c r="C293" i="1"/>
  <c r="C294" i="1"/>
  <c r="C408" i="1"/>
  <c r="C419" i="1"/>
  <c r="C30" i="1"/>
  <c r="C112" i="1"/>
  <c r="C401" i="1"/>
  <c r="C404" i="1"/>
  <c r="C301" i="1"/>
  <c r="C428" i="1"/>
  <c r="C414" i="1"/>
  <c r="C12" i="1"/>
  <c r="C416" i="1"/>
  <c r="C429" i="1"/>
  <c r="C425" i="1"/>
  <c r="C427" i="1"/>
  <c r="C430" i="1"/>
  <c r="C431" i="1"/>
  <c r="C52" i="1"/>
  <c r="C312" i="1"/>
  <c r="C313" i="1"/>
  <c r="C97" i="1"/>
  <c r="C434" i="1"/>
  <c r="C113" i="1"/>
  <c r="C317" i="1"/>
  <c r="C318" i="1"/>
  <c r="C319" i="1"/>
  <c r="C437" i="1"/>
  <c r="C321" i="1"/>
  <c r="C19" i="1"/>
  <c r="C323" i="1"/>
  <c r="C324" i="1"/>
  <c r="C438" i="1"/>
  <c r="C140" i="1"/>
  <c r="C29" i="1"/>
  <c r="C446" i="1"/>
  <c r="C439" i="1"/>
  <c r="C441" i="1"/>
  <c r="C443" i="1"/>
  <c r="C332" i="1"/>
  <c r="C333" i="1"/>
  <c r="C444" i="1"/>
  <c r="C38" i="1"/>
  <c r="C336" i="1"/>
  <c r="C337" i="1"/>
  <c r="C338" i="1"/>
  <c r="C339" i="1"/>
  <c r="C447" i="1"/>
  <c r="C341" i="1"/>
  <c r="C342" i="1"/>
  <c r="C343" i="1"/>
  <c r="C150" i="1"/>
  <c r="C448" i="1"/>
  <c r="C128" i="1"/>
  <c r="C347" i="1"/>
  <c r="C159" i="1"/>
  <c r="C349" i="1"/>
  <c r="C350" i="1"/>
  <c r="C351" i="1"/>
  <c r="C352" i="1"/>
  <c r="C353" i="1"/>
  <c r="C148" i="1"/>
  <c r="C355" i="1"/>
  <c r="C356" i="1"/>
  <c r="C275" i="1"/>
  <c r="C358" i="1"/>
  <c r="C99" i="1"/>
  <c r="C454" i="1"/>
  <c r="C361" i="1"/>
  <c r="C455" i="1"/>
  <c r="C457" i="1"/>
  <c r="C458" i="1"/>
  <c r="C461" i="1"/>
  <c r="C465" i="1"/>
  <c r="C466" i="1"/>
  <c r="C471" i="1"/>
  <c r="C258" i="1"/>
  <c r="C472" i="1"/>
  <c r="C371" i="1"/>
  <c r="C476" i="1"/>
  <c r="C373" i="1"/>
  <c r="C374" i="1"/>
  <c r="C375" i="1"/>
  <c r="C481" i="1"/>
  <c r="C377" i="1"/>
  <c r="C378" i="1"/>
  <c r="C379" i="1"/>
  <c r="C198" i="1"/>
  <c r="C381" i="1"/>
  <c r="C382" i="1"/>
  <c r="C484" i="1"/>
  <c r="C384" i="1"/>
  <c r="C385" i="1"/>
  <c r="C386" i="1"/>
  <c r="C126" i="1"/>
  <c r="C388" i="1"/>
  <c r="C389" i="1"/>
  <c r="C69" i="1"/>
  <c r="C485" i="1"/>
  <c r="C392" i="1"/>
  <c r="C393" i="1"/>
  <c r="C394" i="1"/>
  <c r="C488" i="1"/>
  <c r="C489" i="1"/>
  <c r="C145" i="1"/>
  <c r="C127" i="1"/>
  <c r="C399" i="1"/>
  <c r="C400" i="1"/>
  <c r="C490" i="1"/>
  <c r="C402" i="1"/>
  <c r="C403" i="1"/>
  <c r="C223" i="1"/>
  <c r="C405" i="1"/>
  <c r="C406" i="1"/>
  <c r="C407" i="1"/>
  <c r="C491" i="1"/>
  <c r="C409" i="1"/>
  <c r="C410" i="1"/>
  <c r="C411" i="1"/>
  <c r="C412" i="1"/>
  <c r="C413" i="1"/>
  <c r="C138" i="1"/>
  <c r="C415" i="1"/>
  <c r="C80" i="1"/>
  <c r="C417" i="1"/>
  <c r="C418" i="1"/>
  <c r="C493" i="1"/>
  <c r="C420" i="1"/>
  <c r="C421" i="1"/>
  <c r="C422" i="1"/>
  <c r="C423" i="1"/>
  <c r="C424" i="1"/>
  <c r="C114" i="1"/>
  <c r="C426" i="1"/>
  <c r="C98" i="1"/>
  <c r="C227" i="1"/>
  <c r="C250" i="1"/>
  <c r="C495" i="1"/>
  <c r="C497" i="1"/>
  <c r="C432" i="1"/>
  <c r="C433" i="1"/>
  <c r="C499" i="1"/>
  <c r="C435" i="1"/>
  <c r="C436" i="1"/>
  <c r="C24" i="1"/>
  <c r="C501" i="1"/>
  <c r="C230" i="1"/>
  <c r="C440" i="1"/>
  <c r="C53" i="1"/>
  <c r="C442" i="1"/>
  <c r="C502" i="1"/>
  <c r="C118" i="1"/>
  <c r="C445" i="1"/>
  <c r="C58" i="1"/>
  <c r="C259" i="1"/>
  <c r="C77" i="1"/>
  <c r="C449" i="1"/>
  <c r="C450" i="1"/>
  <c r="C451" i="1"/>
  <c r="C452" i="1"/>
  <c r="C453" i="1"/>
  <c r="C125" i="1"/>
  <c r="C504" i="1"/>
  <c r="C456" i="1"/>
  <c r="C507" i="1"/>
  <c r="C37" i="1"/>
  <c r="C459" i="1"/>
  <c r="C460" i="1"/>
  <c r="C509" i="1"/>
  <c r="C462" i="1"/>
  <c r="C463" i="1"/>
  <c r="C464" i="1"/>
  <c r="C249" i="1"/>
  <c r="C512" i="1"/>
  <c r="C467" i="1"/>
  <c r="C468" i="1"/>
  <c r="C469" i="1"/>
  <c r="C470" i="1"/>
  <c r="C514" i="1"/>
  <c r="C92" i="1"/>
  <c r="C473" i="1"/>
  <c r="C474" i="1"/>
  <c r="C475" i="1"/>
  <c r="C516" i="1"/>
  <c r="C477" i="1"/>
  <c r="C478" i="1"/>
  <c r="C479" i="1"/>
  <c r="C480" i="1"/>
  <c r="C188" i="1"/>
  <c r="C482" i="1"/>
  <c r="C483" i="1"/>
  <c r="C176" i="1"/>
  <c r="C90" i="1"/>
  <c r="C486" i="1"/>
  <c r="C487" i="1"/>
  <c r="C68" i="1"/>
  <c r="C154" i="1"/>
  <c r="C21" i="1"/>
  <c r="C518" i="1"/>
  <c r="C492" i="1"/>
  <c r="C224" i="1"/>
  <c r="C494" i="1"/>
  <c r="C212" i="1"/>
  <c r="C496" i="1"/>
  <c r="C519" i="1"/>
  <c r="C498" i="1"/>
  <c r="C6" i="1"/>
  <c r="C500" i="1"/>
  <c r="C194" i="1"/>
  <c r="C523" i="1"/>
  <c r="C503" i="1"/>
  <c r="C251" i="1"/>
  <c r="C505" i="1"/>
  <c r="C506" i="1"/>
  <c r="C35" i="1"/>
  <c r="C508" i="1"/>
  <c r="C524" i="1"/>
  <c r="C510" i="1"/>
  <c r="C511" i="1"/>
  <c r="C120" i="1"/>
  <c r="C513" i="1"/>
  <c r="C253" i="1"/>
  <c r="C515" i="1"/>
  <c r="C165" i="1"/>
  <c r="C517" i="1"/>
  <c r="C81" i="1"/>
  <c r="C525" i="1"/>
  <c r="C520" i="1"/>
  <c r="C521" i="1"/>
  <c r="C522" i="1"/>
  <c r="C526" i="1"/>
  <c r="C207" i="1"/>
  <c r="C528" i="1"/>
  <c r="C529" i="1"/>
  <c r="C527" i="1"/>
  <c r="C25" i="1"/>
  <c r="C82" i="1"/>
  <c r="C530" i="1"/>
  <c r="C177" i="1"/>
  <c r="N3" i="1"/>
  <c r="N283" i="1"/>
  <c r="N284" i="1"/>
  <c r="N47" i="1"/>
  <c r="N7" i="1"/>
  <c r="O7" i="1" s="1"/>
  <c r="P7" i="1" s="1"/>
  <c r="N286" i="1"/>
  <c r="N288" i="1"/>
  <c r="N132" i="1"/>
  <c r="N11" i="1"/>
  <c r="N169" i="1"/>
  <c r="N13" i="1"/>
  <c r="N175" i="1"/>
  <c r="N290" i="1"/>
  <c r="O290" i="1" s="1"/>
  <c r="P290" i="1" s="1"/>
  <c r="N22" i="1"/>
  <c r="N292" i="1"/>
  <c r="N18" i="1"/>
  <c r="N122" i="1"/>
  <c r="N20" i="1"/>
  <c r="N289" i="1"/>
  <c r="N274" i="1"/>
  <c r="N200" i="1"/>
  <c r="O200" i="1" s="1"/>
  <c r="P200" i="1" s="1"/>
  <c r="N179" i="1"/>
  <c r="N295" i="1"/>
  <c r="N26" i="1"/>
  <c r="N27" i="1"/>
  <c r="N28" i="1"/>
  <c r="N171" i="1"/>
  <c r="N296" i="1"/>
  <c r="N31" i="1"/>
  <c r="O31" i="1" s="1"/>
  <c r="P31" i="1" s="1"/>
  <c r="N32" i="1"/>
  <c r="N33" i="1"/>
  <c r="N193" i="1"/>
  <c r="N297" i="1"/>
  <c r="N36" i="1"/>
  <c r="N298" i="1"/>
  <c r="N299" i="1"/>
  <c r="N39" i="1"/>
  <c r="O39" i="1" s="1"/>
  <c r="P39" i="1" s="1"/>
  <c r="N40" i="1"/>
  <c r="N41" i="1"/>
  <c r="N42" i="1"/>
  <c r="N300" i="1"/>
  <c r="N195" i="1"/>
  <c r="N45" i="1"/>
  <c r="N46" i="1"/>
  <c r="N302" i="1"/>
  <c r="O302" i="1" s="1"/>
  <c r="P302" i="1" s="1"/>
  <c r="N303" i="1"/>
  <c r="N49" i="1"/>
  <c r="N50" i="1"/>
  <c r="N304" i="1"/>
  <c r="N67" i="1"/>
  <c r="N305" i="1"/>
  <c r="N54" i="1"/>
  <c r="N55" i="1"/>
  <c r="O55" i="1" s="1"/>
  <c r="P55" i="1" s="1"/>
  <c r="N56" i="1"/>
  <c r="N57" i="1"/>
  <c r="N306" i="1"/>
  <c r="N59" i="1"/>
  <c r="N60" i="1"/>
  <c r="N307" i="1"/>
  <c r="N62" i="1"/>
  <c r="N63" i="1"/>
  <c r="N308" i="1"/>
  <c r="N65" i="1"/>
  <c r="N66" i="1"/>
  <c r="N277" i="1"/>
  <c r="N309" i="1"/>
  <c r="N115" i="1"/>
  <c r="N70" i="1"/>
  <c r="N71" i="1"/>
  <c r="O71" i="1" s="1"/>
  <c r="P71" i="1" s="1"/>
  <c r="N72" i="1"/>
  <c r="N73" i="1"/>
  <c r="N74" i="1"/>
  <c r="N75" i="1"/>
  <c r="N76" i="1"/>
  <c r="N91" i="1"/>
  <c r="N78" i="1"/>
  <c r="N79" i="1"/>
  <c r="O79" i="1" s="1"/>
  <c r="P79" i="1" s="1"/>
  <c r="N268" i="1"/>
  <c r="N4" i="1"/>
  <c r="N279" i="1"/>
  <c r="N310" i="1"/>
  <c r="N84" i="1"/>
  <c r="N85" i="1"/>
  <c r="N86" i="1"/>
  <c r="N87" i="1"/>
  <c r="O87" i="1" s="1"/>
  <c r="P87" i="1" s="1"/>
  <c r="N88" i="1"/>
  <c r="N89" i="1"/>
  <c r="N266" i="1"/>
  <c r="N311" i="1"/>
  <c r="N315" i="1"/>
  <c r="N316" i="1"/>
  <c r="N16" i="1"/>
  <c r="N95" i="1"/>
  <c r="O95" i="1" s="1"/>
  <c r="P95" i="1" s="1"/>
  <c r="N48" i="1"/>
  <c r="N181" i="1"/>
  <c r="N182" i="1"/>
  <c r="N23" i="1"/>
  <c r="N100" i="1"/>
  <c r="N101" i="1"/>
  <c r="N225" i="1"/>
  <c r="N103" i="1"/>
  <c r="O103" i="1" s="1"/>
  <c r="P103" i="1" s="1"/>
  <c r="N104" i="1"/>
  <c r="N105" i="1"/>
  <c r="N106" i="1"/>
  <c r="N107" i="1"/>
  <c r="N108" i="1"/>
  <c r="N109" i="1"/>
  <c r="N164" i="1"/>
  <c r="N15" i="1"/>
  <c r="O15" i="1" s="1"/>
  <c r="P15" i="1" s="1"/>
  <c r="N232" i="1"/>
  <c r="N191" i="1"/>
  <c r="N5" i="1"/>
  <c r="N314" i="1"/>
  <c r="N320" i="1"/>
  <c r="N117" i="1"/>
  <c r="N208" i="1"/>
  <c r="N322" i="1"/>
  <c r="O322" i="1" s="1"/>
  <c r="P322" i="1" s="1"/>
  <c r="N211" i="1"/>
  <c r="N121" i="1"/>
  <c r="N14" i="1"/>
  <c r="N123" i="1"/>
  <c r="N124" i="1"/>
  <c r="N326" i="1"/>
  <c r="N43" i="1"/>
  <c r="N327" i="1"/>
  <c r="O327" i="1" s="1"/>
  <c r="P327" i="1" s="1"/>
  <c r="N157" i="1"/>
  <c r="N129" i="1"/>
  <c r="N130" i="1"/>
  <c r="N131" i="1"/>
  <c r="N325" i="1"/>
  <c r="N51" i="1"/>
  <c r="N134" i="1"/>
  <c r="N135" i="1"/>
  <c r="O135" i="1" s="1"/>
  <c r="P135" i="1" s="1"/>
  <c r="N136" i="1"/>
  <c r="N137" i="1"/>
  <c r="N329" i="1"/>
  <c r="N330" i="1"/>
  <c r="N111" i="1"/>
  <c r="N141" i="1"/>
  <c r="N142" i="1"/>
  <c r="N143" i="1"/>
  <c r="O143" i="1" s="1"/>
  <c r="P143" i="1" s="1"/>
  <c r="N144" i="1"/>
  <c r="N328" i="1"/>
  <c r="N331" i="1"/>
  <c r="N147" i="1"/>
  <c r="N335" i="1"/>
  <c r="N149" i="1"/>
  <c r="N9" i="1"/>
  <c r="N151" i="1"/>
  <c r="O151" i="1" s="1"/>
  <c r="P151" i="1" s="1"/>
  <c r="N152" i="1"/>
  <c r="N153" i="1"/>
  <c r="N340" i="1"/>
  <c r="N83" i="1"/>
  <c r="N156" i="1"/>
  <c r="N334" i="1"/>
  <c r="N158" i="1"/>
  <c r="N155" i="1"/>
  <c r="O155" i="1" s="1"/>
  <c r="P155" i="1" s="1"/>
  <c r="N160" i="1"/>
  <c r="N161" i="1"/>
  <c r="N344" i="1"/>
  <c r="N64" i="1"/>
  <c r="N96" i="1"/>
  <c r="N345" i="1"/>
  <c r="N166" i="1"/>
  <c r="N167" i="1"/>
  <c r="O167" i="1" s="1"/>
  <c r="P167" i="1" s="1"/>
  <c r="N168" i="1"/>
  <c r="N346" i="1"/>
  <c r="N170" i="1"/>
  <c r="N44" i="1"/>
  <c r="N172" i="1"/>
  <c r="N173" i="1"/>
  <c r="N174" i="1"/>
  <c r="N348" i="1"/>
  <c r="N133" i="1"/>
  <c r="N178" i="1"/>
  <c r="N61" i="1"/>
  <c r="N354" i="1"/>
  <c r="N180" i="1"/>
  <c r="N357" i="1"/>
  <c r="N359" i="1"/>
  <c r="N183" i="1"/>
  <c r="N184" i="1"/>
  <c r="N185" i="1"/>
  <c r="N186" i="1"/>
  <c r="N362" i="1"/>
  <c r="N363" i="1"/>
  <c r="N189" i="1"/>
  <c r="N190" i="1"/>
  <c r="N8" i="1"/>
  <c r="N192" i="1"/>
  <c r="N206" i="1"/>
  <c r="N34" i="1"/>
  <c r="N94" i="1"/>
  <c r="N10" i="1"/>
  <c r="N197" i="1"/>
  <c r="N360" i="1"/>
  <c r="N199" i="1"/>
  <c r="N364" i="1"/>
  <c r="N201" i="1"/>
  <c r="N202" i="1"/>
  <c r="N203" i="1"/>
  <c r="N204" i="1"/>
  <c r="N205" i="1"/>
  <c r="N93" i="1"/>
  <c r="N365" i="1"/>
  <c r="N2" i="1"/>
  <c r="N209" i="1"/>
  <c r="N210" i="1"/>
  <c r="N229" i="1"/>
  <c r="N119" i="1"/>
  <c r="N213" i="1"/>
  <c r="N214" i="1"/>
  <c r="N215" i="1"/>
  <c r="N216" i="1"/>
  <c r="N217" i="1"/>
  <c r="N218" i="1"/>
  <c r="N219" i="1"/>
  <c r="N220" i="1"/>
  <c r="N221" i="1"/>
  <c r="N222" i="1"/>
  <c r="N162" i="1"/>
  <c r="N231" i="1"/>
  <c r="N163" i="1"/>
  <c r="N226" i="1"/>
  <c r="N367" i="1"/>
  <c r="N228" i="1"/>
  <c r="N368" i="1"/>
  <c r="N366" i="1"/>
  <c r="N369" i="1"/>
  <c r="N380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387" i="1"/>
  <c r="N187" i="1"/>
  <c r="N146" i="1"/>
  <c r="N252" i="1"/>
  <c r="N116" i="1"/>
  <c r="N254" i="1"/>
  <c r="N255" i="1"/>
  <c r="N256" i="1"/>
  <c r="N257" i="1"/>
  <c r="N370" i="1"/>
  <c r="N196" i="1"/>
  <c r="N260" i="1"/>
  <c r="N261" i="1"/>
  <c r="N262" i="1"/>
  <c r="N263" i="1"/>
  <c r="N264" i="1"/>
  <c r="N265" i="1"/>
  <c r="N276" i="1"/>
  <c r="N267" i="1"/>
  <c r="N102" i="1"/>
  <c r="N269" i="1"/>
  <c r="N270" i="1"/>
  <c r="N271" i="1"/>
  <c r="N272" i="1"/>
  <c r="N273" i="1"/>
  <c r="N372" i="1"/>
  <c r="N376" i="1"/>
  <c r="N390" i="1"/>
  <c r="N139" i="1"/>
  <c r="N278" i="1"/>
  <c r="N383" i="1"/>
  <c r="N280" i="1"/>
  <c r="N281" i="1"/>
  <c r="N282" i="1"/>
  <c r="N17" i="1"/>
  <c r="N391" i="1"/>
  <c r="N285" i="1"/>
  <c r="N395" i="1"/>
  <c r="N287" i="1"/>
  <c r="N396" i="1"/>
  <c r="N110" i="1"/>
  <c r="N397" i="1"/>
  <c r="N291" i="1"/>
  <c r="N398" i="1"/>
  <c r="N293" i="1"/>
  <c r="N294" i="1"/>
  <c r="N408" i="1"/>
  <c r="N419" i="1"/>
  <c r="N30" i="1"/>
  <c r="N112" i="1"/>
  <c r="N401" i="1"/>
  <c r="N404" i="1"/>
  <c r="N301" i="1"/>
  <c r="N428" i="1"/>
  <c r="N414" i="1"/>
  <c r="N12" i="1"/>
  <c r="N416" i="1"/>
  <c r="N429" i="1"/>
  <c r="N425" i="1"/>
  <c r="N427" i="1"/>
  <c r="N430" i="1"/>
  <c r="N431" i="1"/>
  <c r="N52" i="1"/>
  <c r="N312" i="1"/>
  <c r="N313" i="1"/>
  <c r="N97" i="1"/>
  <c r="N434" i="1"/>
  <c r="N113" i="1"/>
  <c r="N317" i="1"/>
  <c r="N318" i="1"/>
  <c r="N319" i="1"/>
  <c r="N437" i="1"/>
  <c r="N321" i="1"/>
  <c r="N19" i="1"/>
  <c r="N323" i="1"/>
  <c r="N324" i="1"/>
  <c r="N438" i="1"/>
  <c r="N140" i="1"/>
  <c r="N29" i="1"/>
  <c r="N446" i="1"/>
  <c r="N439" i="1"/>
  <c r="N441" i="1"/>
  <c r="N443" i="1"/>
  <c r="N332" i="1"/>
  <c r="N333" i="1"/>
  <c r="N444" i="1"/>
  <c r="N38" i="1"/>
  <c r="N336" i="1"/>
  <c r="N337" i="1"/>
  <c r="N338" i="1"/>
  <c r="N339" i="1"/>
  <c r="N447" i="1"/>
  <c r="N341" i="1"/>
  <c r="N342" i="1"/>
  <c r="N343" i="1"/>
  <c r="N150" i="1"/>
  <c r="N448" i="1"/>
  <c r="N128" i="1"/>
  <c r="N347" i="1"/>
  <c r="N159" i="1"/>
  <c r="N349" i="1"/>
  <c r="N350" i="1"/>
  <c r="N351" i="1"/>
  <c r="N352" i="1"/>
  <c r="N353" i="1"/>
  <c r="N148" i="1"/>
  <c r="N355" i="1"/>
  <c r="N356" i="1"/>
  <c r="N275" i="1"/>
  <c r="N358" i="1"/>
  <c r="N99" i="1"/>
  <c r="N454" i="1"/>
  <c r="N361" i="1"/>
  <c r="N455" i="1"/>
  <c r="N457" i="1"/>
  <c r="N458" i="1"/>
  <c r="N461" i="1"/>
  <c r="N465" i="1"/>
  <c r="N466" i="1"/>
  <c r="N471" i="1"/>
  <c r="N258" i="1"/>
  <c r="N472" i="1"/>
  <c r="N371" i="1"/>
  <c r="N476" i="1"/>
  <c r="N373" i="1"/>
  <c r="N374" i="1"/>
  <c r="N375" i="1"/>
  <c r="N481" i="1"/>
  <c r="N377" i="1"/>
  <c r="N378" i="1"/>
  <c r="N379" i="1"/>
  <c r="N198" i="1"/>
  <c r="N381" i="1"/>
  <c r="N382" i="1"/>
  <c r="N484" i="1"/>
  <c r="N384" i="1"/>
  <c r="N385" i="1"/>
  <c r="N386" i="1"/>
  <c r="N126" i="1"/>
  <c r="N388" i="1"/>
  <c r="N389" i="1"/>
  <c r="N69" i="1"/>
  <c r="N485" i="1"/>
  <c r="N392" i="1"/>
  <c r="N393" i="1"/>
  <c r="N394" i="1"/>
  <c r="N488" i="1"/>
  <c r="N489" i="1"/>
  <c r="N145" i="1"/>
  <c r="N127" i="1"/>
  <c r="N399" i="1"/>
  <c r="N400" i="1"/>
  <c r="N490" i="1"/>
  <c r="N402" i="1"/>
  <c r="N403" i="1"/>
  <c r="N223" i="1"/>
  <c r="N405" i="1"/>
  <c r="N406" i="1"/>
  <c r="N407" i="1"/>
  <c r="N491" i="1"/>
  <c r="N409" i="1"/>
  <c r="N410" i="1"/>
  <c r="N411" i="1"/>
  <c r="N412" i="1"/>
  <c r="N413" i="1"/>
  <c r="N138" i="1"/>
  <c r="N415" i="1"/>
  <c r="N80" i="1"/>
  <c r="N417" i="1"/>
  <c r="N418" i="1"/>
  <c r="N493" i="1"/>
  <c r="N420" i="1"/>
  <c r="N421" i="1"/>
  <c r="N422" i="1"/>
  <c r="N423" i="1"/>
  <c r="N424" i="1"/>
  <c r="N114" i="1"/>
  <c r="N426" i="1"/>
  <c r="N98" i="1"/>
  <c r="N227" i="1"/>
  <c r="N250" i="1"/>
  <c r="N495" i="1"/>
  <c r="N497" i="1"/>
  <c r="N432" i="1"/>
  <c r="N433" i="1"/>
  <c r="N499" i="1"/>
  <c r="N435" i="1"/>
  <c r="N436" i="1"/>
  <c r="N24" i="1"/>
  <c r="N501" i="1"/>
  <c r="N230" i="1"/>
  <c r="N440" i="1"/>
  <c r="N53" i="1"/>
  <c r="N442" i="1"/>
  <c r="N502" i="1"/>
  <c r="N118" i="1"/>
  <c r="N445" i="1"/>
  <c r="N58" i="1"/>
  <c r="N259" i="1"/>
  <c r="N77" i="1"/>
  <c r="N449" i="1"/>
  <c r="N450" i="1"/>
  <c r="N451" i="1"/>
  <c r="N452" i="1"/>
  <c r="N453" i="1"/>
  <c r="N125" i="1"/>
  <c r="N504" i="1"/>
  <c r="N456" i="1"/>
  <c r="N507" i="1"/>
  <c r="N37" i="1"/>
  <c r="N459" i="1"/>
  <c r="N460" i="1"/>
  <c r="N509" i="1"/>
  <c r="N462" i="1"/>
  <c r="N463" i="1"/>
  <c r="N464" i="1"/>
  <c r="N249" i="1"/>
  <c r="N512" i="1"/>
  <c r="N467" i="1"/>
  <c r="N468" i="1"/>
  <c r="N469" i="1"/>
  <c r="N470" i="1"/>
  <c r="N514" i="1"/>
  <c r="N92" i="1"/>
  <c r="N473" i="1"/>
  <c r="N474" i="1"/>
  <c r="N475" i="1"/>
  <c r="N516" i="1"/>
  <c r="N477" i="1"/>
  <c r="N478" i="1"/>
  <c r="N479" i="1"/>
  <c r="N480" i="1"/>
  <c r="N188" i="1"/>
  <c r="N482" i="1"/>
  <c r="N483" i="1"/>
  <c r="N176" i="1"/>
  <c r="N90" i="1"/>
  <c r="N486" i="1"/>
  <c r="N487" i="1"/>
  <c r="N68" i="1"/>
  <c r="N154" i="1"/>
  <c r="N21" i="1"/>
  <c r="N518" i="1"/>
  <c r="N492" i="1"/>
  <c r="N224" i="1"/>
  <c r="N494" i="1"/>
  <c r="N212" i="1"/>
  <c r="N496" i="1"/>
  <c r="N519" i="1"/>
  <c r="N498" i="1"/>
  <c r="N6" i="1"/>
  <c r="N500" i="1"/>
  <c r="N194" i="1"/>
  <c r="N523" i="1"/>
  <c r="N503" i="1"/>
  <c r="N251" i="1"/>
  <c r="N505" i="1"/>
  <c r="N506" i="1"/>
  <c r="N35" i="1"/>
  <c r="N508" i="1"/>
  <c r="N524" i="1"/>
  <c r="N510" i="1"/>
  <c r="N511" i="1"/>
  <c r="N120" i="1"/>
  <c r="N513" i="1"/>
  <c r="N253" i="1"/>
  <c r="N515" i="1"/>
  <c r="N165" i="1"/>
  <c r="N517" i="1"/>
  <c r="N81" i="1"/>
  <c r="N525" i="1"/>
  <c r="N520" i="1"/>
  <c r="N521" i="1"/>
  <c r="N522" i="1"/>
  <c r="N526" i="1"/>
  <c r="N207" i="1"/>
  <c r="N528" i="1"/>
  <c r="N529" i="1"/>
  <c r="N527" i="1"/>
  <c r="N25" i="1"/>
  <c r="N82" i="1"/>
  <c r="N530" i="1"/>
  <c r="N177" i="1"/>
  <c r="W162" i="4" l="1"/>
  <c r="X162" i="4" s="1"/>
  <c r="W212" i="4"/>
  <c r="X212" i="4" s="1"/>
  <c r="W274" i="4"/>
  <c r="X274" i="4" s="1"/>
  <c r="W233" i="4"/>
  <c r="X233" i="4" s="1"/>
  <c r="W98" i="4"/>
  <c r="X98" i="4" s="1"/>
  <c r="Z98" i="4" s="1"/>
  <c r="W181" i="4"/>
  <c r="X181" i="4" s="1"/>
  <c r="W273" i="4"/>
  <c r="X273" i="4" s="1"/>
  <c r="W127" i="4"/>
  <c r="X127" i="4" s="1"/>
  <c r="Z127" i="4" s="1"/>
  <c r="W249" i="4"/>
  <c r="W240" i="4"/>
  <c r="W237" i="4"/>
  <c r="X237" i="4" s="1"/>
  <c r="W189" i="4"/>
  <c r="X189" i="4" s="1"/>
  <c r="W121" i="4"/>
  <c r="X121" i="4" s="1"/>
  <c r="W57" i="4"/>
  <c r="X57" i="4" s="1"/>
  <c r="Y57" i="4" s="1"/>
  <c r="W186" i="4"/>
  <c r="X186" i="4" s="1"/>
  <c r="Y186" i="4" s="1"/>
  <c r="W196" i="4"/>
  <c r="X196" i="4" s="1"/>
  <c r="Y196" i="4" s="1"/>
  <c r="W163" i="4"/>
  <c r="X163" i="4" s="1"/>
  <c r="W30" i="4"/>
  <c r="X30" i="4" s="1"/>
  <c r="W223" i="4"/>
  <c r="X223" i="4" s="1"/>
  <c r="W272" i="4"/>
  <c r="W309" i="4"/>
  <c r="X309" i="4" s="1"/>
  <c r="Z309" i="4" s="1"/>
  <c r="W293" i="4"/>
  <c r="X293" i="4" s="1"/>
  <c r="Y293" i="4" s="1"/>
  <c r="W90" i="4"/>
  <c r="X90" i="4" s="1"/>
  <c r="Z90" i="4" s="1"/>
  <c r="W286" i="4"/>
  <c r="X286" i="4" s="1"/>
  <c r="Y286" i="4" s="1"/>
  <c r="W307" i="4"/>
  <c r="X307" i="4" s="1"/>
  <c r="W155" i="4"/>
  <c r="X155" i="4" s="1"/>
  <c r="Z155" i="4" s="1"/>
  <c r="W225" i="4"/>
  <c r="X225" i="4" s="1"/>
  <c r="W138" i="4"/>
  <c r="X138" i="4" s="1"/>
  <c r="W267" i="4"/>
  <c r="X267" i="4" s="1"/>
  <c r="Z267" i="4" s="1"/>
  <c r="W269" i="4"/>
  <c r="X269" i="4" s="1"/>
  <c r="Y269" i="4" s="1"/>
  <c r="W133" i="4"/>
  <c r="X133" i="4" s="1"/>
  <c r="Z133" i="4" s="1"/>
  <c r="W282" i="4"/>
  <c r="X282" i="4" s="1"/>
  <c r="Z282" i="4" s="1"/>
  <c r="W113" i="4"/>
  <c r="X113" i="4" s="1"/>
  <c r="W297" i="4"/>
  <c r="X297" i="4" s="1"/>
  <c r="Y297" i="4" s="1"/>
  <c r="W257" i="4"/>
  <c r="X257" i="4" s="1"/>
  <c r="Y257" i="4" s="1"/>
  <c r="W106" i="4"/>
  <c r="X106" i="4" s="1"/>
  <c r="W144" i="4"/>
  <c r="X144" i="4" s="1"/>
  <c r="Z144" i="4" s="1"/>
  <c r="W28" i="4"/>
  <c r="X28" i="4" s="1"/>
  <c r="Y28" i="4" s="1"/>
  <c r="W166" i="4"/>
  <c r="X166" i="4" s="1"/>
  <c r="W206" i="4"/>
  <c r="X206" i="4" s="1"/>
  <c r="Y206" i="4" s="1"/>
  <c r="W126" i="4"/>
  <c r="X126" i="4" s="1"/>
  <c r="W5" i="4"/>
  <c r="X5" i="4" s="1"/>
  <c r="Y5" i="4" s="1"/>
  <c r="W243" i="4"/>
  <c r="X243" i="4" s="1"/>
  <c r="Z243" i="4" s="1"/>
  <c r="W71" i="4"/>
  <c r="X71" i="4" s="1"/>
  <c r="Z71" i="4" s="1"/>
  <c r="W18" i="4"/>
  <c r="X18" i="4" s="1"/>
  <c r="Y18" i="4" s="1"/>
  <c r="W172" i="4"/>
  <c r="X172" i="4" s="1"/>
  <c r="Y172" i="4" s="1"/>
  <c r="W97" i="4"/>
  <c r="X97" i="4" s="1"/>
  <c r="W271" i="4"/>
  <c r="X271" i="4" s="1"/>
  <c r="Y271" i="4" s="1"/>
  <c r="W40" i="4"/>
  <c r="X40" i="4" s="1"/>
  <c r="Y40" i="4" s="1"/>
  <c r="W284" i="4"/>
  <c r="X284" i="4" s="1"/>
  <c r="Y284" i="4" s="1"/>
  <c r="W58" i="4"/>
  <c r="X58" i="4" s="1"/>
  <c r="Z58" i="4" s="1"/>
  <c r="W135" i="4"/>
  <c r="X135" i="4" s="1"/>
  <c r="Z135" i="4" s="1"/>
  <c r="W116" i="4"/>
  <c r="X116" i="4" s="1"/>
  <c r="Y116" i="4" s="1"/>
  <c r="W182" i="4"/>
  <c r="X182" i="4" s="1"/>
  <c r="Y182" i="4" s="1"/>
  <c r="W54" i="4"/>
  <c r="X54" i="4" s="1"/>
  <c r="W197" i="4"/>
  <c r="X197" i="4" s="1"/>
  <c r="Y197" i="4" s="1"/>
  <c r="W83" i="4"/>
  <c r="X83" i="4" s="1"/>
  <c r="W302" i="4"/>
  <c r="X302" i="4" s="1"/>
  <c r="Z302" i="4" s="1"/>
  <c r="W8" i="4"/>
  <c r="X8" i="4" s="1"/>
  <c r="Y8" i="4" s="1"/>
  <c r="W280" i="4"/>
  <c r="X280" i="4" s="1"/>
  <c r="Y280" i="4" s="1"/>
  <c r="W104" i="4"/>
  <c r="X104" i="4" s="1"/>
  <c r="Z104" i="4" s="1"/>
  <c r="W38" i="4"/>
  <c r="X38" i="4" s="1"/>
  <c r="W215" i="4"/>
  <c r="X215" i="4" s="1"/>
  <c r="Z215" i="4" s="1"/>
  <c r="W120" i="4"/>
  <c r="X120" i="4" s="1"/>
  <c r="Y120" i="4" s="1"/>
  <c r="W185" i="4"/>
  <c r="X185" i="4" s="1"/>
  <c r="Z185" i="4" s="1"/>
  <c r="W146" i="4"/>
  <c r="X146" i="4" s="1"/>
  <c r="W23" i="4"/>
  <c r="X23" i="4" s="1"/>
  <c r="Z23" i="4" s="1"/>
  <c r="W81" i="4"/>
  <c r="X81" i="4" s="1"/>
  <c r="Z81" i="4" s="1"/>
  <c r="X272" i="4"/>
  <c r="Y272" i="4" s="1"/>
  <c r="W294" i="4"/>
  <c r="W245" i="4"/>
  <c r="X245" i="4" s="1"/>
  <c r="W108" i="4"/>
  <c r="X108" i="4" s="1"/>
  <c r="Y108" i="4" s="1"/>
  <c r="W299" i="4"/>
  <c r="X299" i="4" s="1"/>
  <c r="Y299" i="4" s="1"/>
  <c r="W177" i="4"/>
  <c r="X177" i="4" s="1"/>
  <c r="W154" i="4"/>
  <c r="X154" i="4" s="1"/>
  <c r="W159" i="4"/>
  <c r="X159" i="4" s="1"/>
  <c r="Y159" i="4" s="1"/>
  <c r="W168" i="4"/>
  <c r="X168" i="4" s="1"/>
  <c r="Y168" i="4" s="1"/>
  <c r="W52" i="4"/>
  <c r="X52" i="4" s="1"/>
  <c r="Z52" i="4" s="1"/>
  <c r="W100" i="4"/>
  <c r="X100" i="4" s="1"/>
  <c r="Z100" i="4" s="1"/>
  <c r="W60" i="4"/>
  <c r="X60" i="4" s="1"/>
  <c r="Y60" i="4" s="1"/>
  <c r="W36" i="4"/>
  <c r="X36" i="4" s="1"/>
  <c r="Y36" i="4" s="1"/>
  <c r="W34" i="4"/>
  <c r="X34" i="4" s="1"/>
  <c r="W22" i="4"/>
  <c r="X22" i="4" s="1"/>
  <c r="W130" i="4"/>
  <c r="X130" i="4" s="1"/>
  <c r="Z130" i="4" s="1"/>
  <c r="W14" i="4"/>
  <c r="X14" i="4" s="1"/>
  <c r="Y14" i="4" s="1"/>
  <c r="W75" i="4"/>
  <c r="X75" i="4" s="1"/>
  <c r="Y75" i="4" s="1"/>
  <c r="W221" i="4"/>
  <c r="X221" i="4" s="1"/>
  <c r="Z221" i="4" s="1"/>
  <c r="W213" i="4"/>
  <c r="X213" i="4" s="1"/>
  <c r="Z213" i="4" s="1"/>
  <c r="W82" i="4"/>
  <c r="X82" i="4" s="1"/>
  <c r="Z82" i="4" s="1"/>
  <c r="W188" i="4"/>
  <c r="X188" i="4" s="1"/>
  <c r="Z188" i="4" s="1"/>
  <c r="W252" i="4"/>
  <c r="X252" i="4" s="1"/>
  <c r="Z252" i="4" s="1"/>
  <c r="W111" i="4"/>
  <c r="X111" i="4" s="1"/>
  <c r="Y111" i="4" s="1"/>
  <c r="W250" i="4"/>
  <c r="X250" i="4" s="1"/>
  <c r="Y250" i="4" s="1"/>
  <c r="W59" i="4"/>
  <c r="X59" i="4" s="1"/>
  <c r="W176" i="4"/>
  <c r="X176" i="4" s="1"/>
  <c r="Z176" i="4" s="1"/>
  <c r="W275" i="4"/>
  <c r="X275" i="4" s="1"/>
  <c r="Y275" i="4" s="1"/>
  <c r="W132" i="4"/>
  <c r="X132" i="4" s="1"/>
  <c r="Y132" i="4" s="1"/>
  <c r="W306" i="4"/>
  <c r="X306" i="4" s="1"/>
  <c r="Y306" i="4" s="1"/>
  <c r="W13" i="4"/>
  <c r="X13" i="4" s="1"/>
  <c r="Y13" i="4" s="1"/>
  <c r="W298" i="4"/>
  <c r="X298" i="4" s="1"/>
  <c r="Y298" i="4" s="1"/>
  <c r="W220" i="4"/>
  <c r="X220" i="4" s="1"/>
  <c r="W118" i="4"/>
  <c r="X118" i="4" s="1"/>
  <c r="Z118" i="4" s="1"/>
  <c r="W248" i="4"/>
  <c r="X248" i="4" s="1"/>
  <c r="Z248" i="4" s="1"/>
  <c r="W175" i="4"/>
  <c r="X175" i="4" s="1"/>
  <c r="W147" i="4"/>
  <c r="X147" i="4" s="1"/>
  <c r="W199" i="4"/>
  <c r="X199" i="4" s="1"/>
  <c r="Z199" i="4" s="1"/>
  <c r="W125" i="4"/>
  <c r="X125" i="4" s="1"/>
  <c r="Z125" i="4" s="1"/>
  <c r="W51" i="4"/>
  <c r="X51" i="4" s="1"/>
  <c r="Z51" i="4" s="1"/>
  <c r="W200" i="4"/>
  <c r="X200" i="4" s="1"/>
  <c r="Z200" i="4" s="1"/>
  <c r="W12" i="4"/>
  <c r="X12" i="4" s="1"/>
  <c r="Z12" i="4" s="1"/>
  <c r="W4" i="4"/>
  <c r="X4" i="4" s="1"/>
  <c r="Z4" i="4" s="1"/>
  <c r="W9" i="4"/>
  <c r="X9" i="4" s="1"/>
  <c r="W205" i="4"/>
  <c r="X205" i="4" s="1"/>
  <c r="Y205" i="4" s="1"/>
  <c r="W69" i="4"/>
  <c r="X69" i="4" s="1"/>
  <c r="Y69" i="4" s="1"/>
  <c r="W24" i="4"/>
  <c r="X24" i="4" s="1"/>
  <c r="Y24" i="4" s="1"/>
  <c r="W208" i="4"/>
  <c r="X208" i="4" s="1"/>
  <c r="Y208" i="4" s="1"/>
  <c r="W110" i="4"/>
  <c r="X110" i="4" s="1"/>
  <c r="Z110" i="4" s="1"/>
  <c r="W87" i="4"/>
  <c r="X87" i="4" s="1"/>
  <c r="Z87" i="4" s="1"/>
  <c r="W96" i="4"/>
  <c r="X96" i="4" s="1"/>
  <c r="W92" i="4"/>
  <c r="X92" i="4" s="1"/>
  <c r="W191" i="4"/>
  <c r="X191" i="4" s="1"/>
  <c r="Y191" i="4" s="1"/>
  <c r="W192" i="4"/>
  <c r="X192" i="4" s="1"/>
  <c r="Z192" i="4" s="1"/>
  <c r="W84" i="4"/>
  <c r="X84" i="4" s="1"/>
  <c r="Z84" i="4" s="1"/>
  <c r="Z212" i="4"/>
  <c r="Y212" i="4"/>
  <c r="Z113" i="4"/>
  <c r="Y113" i="4"/>
  <c r="Y274" i="4"/>
  <c r="Z274" i="4"/>
  <c r="X240" i="4"/>
  <c r="Y240" i="4" s="1"/>
  <c r="Z189" i="4"/>
  <c r="Y189" i="4"/>
  <c r="Z138" i="4"/>
  <c r="Y138" i="4"/>
  <c r="X249" i="4"/>
  <c r="Y249" i="4" s="1"/>
  <c r="Z259" i="4"/>
  <c r="Y259" i="4"/>
  <c r="Y82" i="4"/>
  <c r="Y188" i="4"/>
  <c r="Z162" i="4"/>
  <c r="Y162" i="4"/>
  <c r="X294" i="4"/>
  <c r="Y294" i="4" s="1"/>
  <c r="W287" i="4"/>
  <c r="X287" i="4" s="1"/>
  <c r="W145" i="4"/>
  <c r="X145" i="4" s="1"/>
  <c r="Z145" i="4" s="1"/>
  <c r="W230" i="4"/>
  <c r="X230" i="4" s="1"/>
  <c r="Y230" i="4" s="1"/>
  <c r="W88" i="4"/>
  <c r="X88" i="4" s="1"/>
  <c r="Y88" i="4" s="1"/>
  <c r="Y155" i="4"/>
  <c r="W165" i="4"/>
  <c r="X165" i="4" s="1"/>
  <c r="Y165" i="4" s="1"/>
  <c r="W102" i="4"/>
  <c r="X102" i="4" s="1"/>
  <c r="Y102" i="4" s="1"/>
  <c r="W50" i="4"/>
  <c r="X50" i="4" s="1"/>
  <c r="Y50" i="4" s="1"/>
  <c r="W227" i="4"/>
  <c r="X227" i="4" s="1"/>
  <c r="W260" i="4"/>
  <c r="X260" i="4" s="1"/>
  <c r="Y260" i="4" s="1"/>
  <c r="W134" i="4"/>
  <c r="X134" i="4" s="1"/>
  <c r="Z134" i="4" s="1"/>
  <c r="W89" i="4"/>
  <c r="X89" i="4" s="1"/>
  <c r="W99" i="4"/>
  <c r="X99" i="4" s="1"/>
  <c r="Z99" i="4" s="1"/>
  <c r="W247" i="4"/>
  <c r="X247" i="4" s="1"/>
  <c r="Y247" i="4" s="1"/>
  <c r="W203" i="4"/>
  <c r="X203" i="4" s="1"/>
  <c r="Y203" i="4" s="1"/>
  <c r="W46" i="4"/>
  <c r="X46" i="4" s="1"/>
  <c r="Y46" i="4" s="1"/>
  <c r="W164" i="4"/>
  <c r="X164" i="4" s="1"/>
  <c r="Z164" i="4" s="1"/>
  <c r="W33" i="4"/>
  <c r="X33" i="4" s="1"/>
  <c r="Y33" i="4" s="1"/>
  <c r="W160" i="4"/>
  <c r="X160" i="4" s="1"/>
  <c r="Y160" i="4" s="1"/>
  <c r="W217" i="4"/>
  <c r="X217" i="4" s="1"/>
  <c r="Y217" i="4" s="1"/>
  <c r="W296" i="4"/>
  <c r="X296" i="4" s="1"/>
  <c r="Y296" i="4" s="1"/>
  <c r="W129" i="4"/>
  <c r="X129" i="4" s="1"/>
  <c r="Y129" i="4" s="1"/>
  <c r="W255" i="4"/>
  <c r="X255" i="4" s="1"/>
  <c r="Z255" i="4" s="1"/>
  <c r="X178" i="4"/>
  <c r="W261" i="4"/>
  <c r="X261" i="4" s="1"/>
  <c r="W244" i="4"/>
  <c r="X244" i="4" s="1"/>
  <c r="Y244" i="4" s="1"/>
  <c r="W214" i="4"/>
  <c r="X214" i="4" s="1"/>
  <c r="W128" i="4"/>
  <c r="X128" i="4" s="1"/>
  <c r="Y128" i="4" s="1"/>
  <c r="W109" i="4"/>
  <c r="X109" i="4" s="1"/>
  <c r="Z109" i="4" s="1"/>
  <c r="W174" i="4"/>
  <c r="X174" i="4" s="1"/>
  <c r="Y174" i="4" s="1"/>
  <c r="W290" i="4"/>
  <c r="X290" i="4" s="1"/>
  <c r="W266" i="4"/>
  <c r="X266" i="4" s="1"/>
  <c r="Y266" i="4" s="1"/>
  <c r="W123" i="4"/>
  <c r="X123" i="4" s="1"/>
  <c r="Y123" i="4" s="1"/>
  <c r="W124" i="4"/>
  <c r="X124" i="4" s="1"/>
  <c r="Y124" i="4" s="1"/>
  <c r="W140" i="4"/>
  <c r="X140" i="4" s="1"/>
  <c r="Y140" i="4" s="1"/>
  <c r="W224" i="4"/>
  <c r="X224" i="4" s="1"/>
  <c r="Z224" i="4" s="1"/>
  <c r="W235" i="4"/>
  <c r="X235" i="4" s="1"/>
  <c r="W72" i="4"/>
  <c r="X72" i="4" s="1"/>
  <c r="Y72" i="4" s="1"/>
  <c r="W56" i="4"/>
  <c r="X56" i="4" s="1"/>
  <c r="Y56" i="4" s="1"/>
  <c r="W45" i="4"/>
  <c r="X45" i="4" s="1"/>
  <c r="Y45" i="4" s="1"/>
  <c r="W195" i="4"/>
  <c r="X195" i="4" s="1"/>
  <c r="W25" i="4"/>
  <c r="X25" i="4" s="1"/>
  <c r="Y25" i="4" s="1"/>
  <c r="W68" i="4"/>
  <c r="X68" i="4" s="1"/>
  <c r="W43" i="4"/>
  <c r="X43" i="4" s="1"/>
  <c r="Z43" i="4" s="1"/>
  <c r="W209" i="4"/>
  <c r="X209" i="4" s="1"/>
  <c r="Z209" i="4" s="1"/>
  <c r="W312" i="4"/>
  <c r="X312" i="4" s="1"/>
  <c r="Y312" i="4" s="1"/>
  <c r="W93" i="4"/>
  <c r="X93" i="4" s="1"/>
  <c r="W288" i="4"/>
  <c r="X288" i="4" s="1"/>
  <c r="Z288" i="4" s="1"/>
  <c r="W300" i="4"/>
  <c r="X300" i="4" s="1"/>
  <c r="Y300" i="4" s="1"/>
  <c r="W7" i="4"/>
  <c r="X7" i="4" s="1"/>
  <c r="Y7" i="4" s="1"/>
  <c r="W158" i="4"/>
  <c r="X158" i="4" s="1"/>
  <c r="W234" i="4"/>
  <c r="X234" i="4" s="1"/>
  <c r="W2" i="4"/>
  <c r="X2" i="4" s="1"/>
  <c r="W41" i="4"/>
  <c r="X41" i="4" s="1"/>
  <c r="W228" i="4"/>
  <c r="X228" i="4" s="1"/>
  <c r="Y228" i="4" s="1"/>
  <c r="W190" i="4"/>
  <c r="X190" i="4" s="1"/>
  <c r="Y190" i="4" s="1"/>
  <c r="W216" i="4"/>
  <c r="X216" i="4" s="1"/>
  <c r="Y216" i="4" s="1"/>
  <c r="W169" i="4"/>
  <c r="X169" i="4" s="1"/>
  <c r="Y169" i="4" s="1"/>
  <c r="W137" i="4"/>
  <c r="X137" i="4" s="1"/>
  <c r="W305" i="4"/>
  <c r="X305" i="4" s="1"/>
  <c r="Y305" i="4" s="1"/>
  <c r="W143" i="4"/>
  <c r="X143" i="4" s="1"/>
  <c r="W6" i="4"/>
  <c r="X6" i="4" s="1"/>
  <c r="W112" i="4"/>
  <c r="X112" i="4" s="1"/>
  <c r="Y112" i="4" s="1"/>
  <c r="W194" i="4"/>
  <c r="X194" i="4" s="1"/>
  <c r="W180" i="4"/>
  <c r="X180" i="4" s="1"/>
  <c r="Z180" i="4" s="1"/>
  <c r="W39" i="4"/>
  <c r="X39" i="4" s="1"/>
  <c r="W29" i="4"/>
  <c r="X29" i="4" s="1"/>
  <c r="Z29" i="4" s="1"/>
  <c r="W193" i="4"/>
  <c r="X193" i="4" s="1"/>
  <c r="Y193" i="4" s="1"/>
  <c r="W65" i="4"/>
  <c r="X65" i="4" s="1"/>
  <c r="Y65" i="4" s="1"/>
  <c r="W86" i="4"/>
  <c r="X86" i="4" s="1"/>
  <c r="W270" i="4"/>
  <c r="X270" i="4" s="1"/>
  <c r="W254" i="4"/>
  <c r="X254" i="4" s="1"/>
  <c r="W231" i="4"/>
  <c r="X231" i="4" s="1"/>
  <c r="W239" i="4"/>
  <c r="X239" i="4" s="1"/>
  <c r="W285" i="4"/>
  <c r="X285" i="4" s="1"/>
  <c r="W283" i="4"/>
  <c r="X283" i="4" s="1"/>
  <c r="W301" i="4"/>
  <c r="X301" i="4" s="1"/>
  <c r="W246" i="4"/>
  <c r="X246" i="4" s="1"/>
  <c r="W202" i="4"/>
  <c r="X202" i="4" s="1"/>
  <c r="Y202" i="4" s="1"/>
  <c r="W27" i="4"/>
  <c r="X27" i="4" s="1"/>
  <c r="Y27" i="4" s="1"/>
  <c r="W265" i="4"/>
  <c r="X265" i="4" s="1"/>
  <c r="W152" i="4"/>
  <c r="X152" i="4" s="1"/>
  <c r="Y152" i="4" s="1"/>
  <c r="W114" i="4"/>
  <c r="X114" i="4" s="1"/>
  <c r="W218" i="4"/>
  <c r="X218" i="4" s="1"/>
  <c r="Z218" i="4" s="1"/>
  <c r="W61" i="4"/>
  <c r="X61" i="4" s="1"/>
  <c r="Y61" i="4" s="1"/>
  <c r="W131" i="4"/>
  <c r="X131" i="4" s="1"/>
  <c r="Z131" i="4" s="1"/>
  <c r="W117" i="4"/>
  <c r="X117" i="4" s="1"/>
  <c r="Y117" i="4" s="1"/>
  <c r="W119" i="4"/>
  <c r="X119" i="4" s="1"/>
  <c r="Z119" i="4" s="1"/>
  <c r="W63" i="4"/>
  <c r="X63" i="4" s="1"/>
  <c r="Y63" i="4" s="1"/>
  <c r="W15" i="4"/>
  <c r="X15" i="4" s="1"/>
  <c r="W95" i="4"/>
  <c r="X95" i="4" s="1"/>
  <c r="W311" i="4"/>
  <c r="X311" i="4" s="1"/>
  <c r="W156" i="4"/>
  <c r="X156" i="4" s="1"/>
  <c r="W85" i="4"/>
  <c r="X85" i="4" s="1"/>
  <c r="Y85" i="4" s="1"/>
  <c r="W179" i="4"/>
  <c r="X179" i="4" s="1"/>
  <c r="Y179" i="4" s="1"/>
  <c r="W207" i="4"/>
  <c r="X207" i="4" s="1"/>
  <c r="Z207" i="4" s="1"/>
  <c r="W198" i="4"/>
  <c r="X198" i="4" s="1"/>
  <c r="Y198" i="4" s="1"/>
  <c r="W291" i="4"/>
  <c r="X291" i="4" s="1"/>
  <c r="W101" i="4"/>
  <c r="X101" i="4" s="1"/>
  <c r="W303" i="4"/>
  <c r="X303" i="4" s="1"/>
  <c r="W44" i="4"/>
  <c r="X44" i="4" s="1"/>
  <c r="Z44" i="4" s="1"/>
  <c r="W263" i="4"/>
  <c r="X263" i="4" s="1"/>
  <c r="Y263" i="4" s="1"/>
  <c r="W308" i="4"/>
  <c r="X308" i="4" s="1"/>
  <c r="Z308" i="4" s="1"/>
  <c r="W80" i="4"/>
  <c r="X80" i="4" s="1"/>
  <c r="W238" i="4"/>
  <c r="X238" i="4" s="1"/>
  <c r="W211" i="4"/>
  <c r="X211" i="4" s="1"/>
  <c r="Y211" i="4" s="1"/>
  <c r="W151" i="4"/>
  <c r="X151" i="4" s="1"/>
  <c r="Y151" i="4" s="1"/>
  <c r="W139" i="4"/>
  <c r="X139" i="4" s="1"/>
  <c r="Y139" i="4" s="1"/>
  <c r="W94" i="4"/>
  <c r="X94" i="4" s="1"/>
  <c r="Y94" i="4" s="1"/>
  <c r="W74" i="4"/>
  <c r="X74" i="4" s="1"/>
  <c r="Y74" i="4" s="1"/>
  <c r="W49" i="4"/>
  <c r="X49" i="4" s="1"/>
  <c r="Z49" i="4" s="1"/>
  <c r="W204" i="4"/>
  <c r="X204" i="4" s="1"/>
  <c r="Y204" i="4" s="1"/>
  <c r="W32" i="4"/>
  <c r="X32" i="4" s="1"/>
  <c r="Y32" i="4" s="1"/>
  <c r="W76" i="4"/>
  <c r="X76" i="4" s="1"/>
  <c r="W310" i="4"/>
  <c r="X310" i="4" s="1"/>
  <c r="Z310" i="4" s="1"/>
  <c r="W279" i="4"/>
  <c r="X279" i="4" s="1"/>
  <c r="W241" i="4"/>
  <c r="X241" i="4" s="1"/>
  <c r="W276" i="4"/>
  <c r="X276" i="4" s="1"/>
  <c r="W281" i="4"/>
  <c r="X281" i="4" s="1"/>
  <c r="W295" i="4"/>
  <c r="X295" i="4" s="1"/>
  <c r="W150" i="4"/>
  <c r="X150" i="4" s="1"/>
  <c r="Z150" i="4" s="1"/>
  <c r="W258" i="4"/>
  <c r="X258" i="4" s="1"/>
  <c r="Y258" i="4" s="1"/>
  <c r="W66" i="4"/>
  <c r="X66" i="4" s="1"/>
  <c r="W187" i="4"/>
  <c r="X187" i="4" s="1"/>
  <c r="W91" i="4"/>
  <c r="X91" i="4" s="1"/>
  <c r="Y91" i="4" s="1"/>
  <c r="W229" i="4"/>
  <c r="X229" i="4" s="1"/>
  <c r="W277" i="4"/>
  <c r="X277" i="4" s="1"/>
  <c r="Y277" i="4" s="1"/>
  <c r="W149" i="4"/>
  <c r="X149" i="4" s="1"/>
  <c r="W184" i="4"/>
  <c r="X184" i="4" s="1"/>
  <c r="Z184" i="4" s="1"/>
  <c r="W292" i="4"/>
  <c r="X292" i="4" s="1"/>
  <c r="W79" i="4"/>
  <c r="X79" i="4" s="1"/>
  <c r="W48" i="4"/>
  <c r="X48" i="4" s="1"/>
  <c r="Y48" i="4" s="1"/>
  <c r="W64" i="4"/>
  <c r="X64" i="4" s="1"/>
  <c r="Y64" i="4" s="1"/>
  <c r="W42" i="4"/>
  <c r="X42" i="4" s="1"/>
  <c r="Z42" i="4" s="1"/>
  <c r="W53" i="4"/>
  <c r="X53" i="4" s="1"/>
  <c r="Y53" i="4" s="1"/>
  <c r="W251" i="4"/>
  <c r="X251" i="4" s="1"/>
  <c r="Y251" i="4" s="1"/>
  <c r="W136" i="4"/>
  <c r="X136" i="4" s="1"/>
  <c r="Y136" i="4" s="1"/>
  <c r="W304" i="4"/>
  <c r="X304" i="4" s="1"/>
  <c r="Z304" i="4" s="1"/>
  <c r="W31" i="4"/>
  <c r="X31" i="4" s="1"/>
  <c r="Z31" i="4" s="1"/>
  <c r="W21" i="4"/>
  <c r="X21" i="4" s="1"/>
  <c r="Y21" i="4" s="1"/>
  <c r="W153" i="4"/>
  <c r="X153" i="4" s="1"/>
  <c r="Y153" i="4" s="1"/>
  <c r="W157" i="4"/>
  <c r="X157" i="4" s="1"/>
  <c r="Y157" i="4" s="1"/>
  <c r="W262" i="4"/>
  <c r="X262" i="4" s="1"/>
  <c r="Y262" i="4" s="1"/>
  <c r="W236" i="4"/>
  <c r="X236" i="4" s="1"/>
  <c r="Y236" i="4" s="1"/>
  <c r="W67" i="4"/>
  <c r="X67" i="4" s="1"/>
  <c r="Z67" i="4" s="1"/>
  <c r="W268" i="4"/>
  <c r="X268" i="4" s="1"/>
  <c r="W226" i="4"/>
  <c r="X226" i="4" s="1"/>
  <c r="Y226" i="4" s="1"/>
  <c r="W142" i="4"/>
  <c r="X142" i="4" s="1"/>
  <c r="W183" i="4"/>
  <c r="X183" i="4" s="1"/>
  <c r="Z183" i="4" s="1"/>
  <c r="W171" i="4"/>
  <c r="X171" i="4" s="1"/>
  <c r="W201" i="4"/>
  <c r="X201" i="4" s="1"/>
  <c r="Y201" i="4" s="1"/>
  <c r="W62" i="4"/>
  <c r="X62" i="4" s="1"/>
  <c r="W278" i="4"/>
  <c r="X278" i="4" s="1"/>
  <c r="Y278" i="4" s="1"/>
  <c r="W264" i="4"/>
  <c r="X264" i="4" s="1"/>
  <c r="Y264" i="4" s="1"/>
  <c r="W10" i="4"/>
  <c r="X10" i="4" s="1"/>
  <c r="W289" i="4"/>
  <c r="X289" i="4" s="1"/>
  <c r="Z289" i="4" s="1"/>
  <c r="W115" i="4"/>
  <c r="X115" i="4" s="1"/>
  <c r="Y115" i="4" s="1"/>
  <c r="W105" i="4"/>
  <c r="X105" i="4" s="1"/>
  <c r="Y105" i="4" s="1"/>
  <c r="W77" i="4"/>
  <c r="X77" i="4" s="1"/>
  <c r="W47" i="4"/>
  <c r="X47" i="4" s="1"/>
  <c r="Y47" i="4" s="1"/>
  <c r="W103" i="4"/>
  <c r="X103" i="4" s="1"/>
  <c r="Z103" i="4" s="1"/>
  <c r="W17" i="4"/>
  <c r="X17" i="4" s="1"/>
  <c r="Y17" i="4" s="1"/>
  <c r="W19" i="4"/>
  <c r="X19" i="4" s="1"/>
  <c r="W3" i="4"/>
  <c r="X3" i="4" s="1"/>
  <c r="Y310" i="4"/>
  <c r="Z236" i="4"/>
  <c r="Z190" i="4"/>
  <c r="Z216" i="4"/>
  <c r="Y273" i="4"/>
  <c r="Z273" i="4"/>
  <c r="Y122" i="4"/>
  <c r="Z122" i="4"/>
  <c r="Y176" i="4"/>
  <c r="Y242" i="4"/>
  <c r="Z242" i="4"/>
  <c r="Z226" i="4"/>
  <c r="Y35" i="4"/>
  <c r="Z35" i="4"/>
  <c r="Z198" i="4"/>
  <c r="Z123" i="4"/>
  <c r="Y181" i="4"/>
  <c r="Z181" i="4"/>
  <c r="Y167" i="4"/>
  <c r="Z167" i="4"/>
  <c r="Y256" i="4"/>
  <c r="Z256" i="4"/>
  <c r="Y185" i="4"/>
  <c r="Y173" i="4"/>
  <c r="Z173" i="4"/>
  <c r="Y29" i="4"/>
  <c r="Z193" i="4"/>
  <c r="Y164" i="4"/>
  <c r="Y55" i="4"/>
  <c r="Z55" i="4"/>
  <c r="Z160" i="4"/>
  <c r="Y237" i="4"/>
  <c r="Z237" i="4"/>
  <c r="Y233" i="4"/>
  <c r="Z233" i="4"/>
  <c r="Y222" i="4"/>
  <c r="Z222" i="4"/>
  <c r="Y26" i="4"/>
  <c r="Z26" i="4"/>
  <c r="Y97" i="4"/>
  <c r="Z97" i="4"/>
  <c r="Y261" i="4"/>
  <c r="Z261" i="4"/>
  <c r="Z168" i="4"/>
  <c r="Y31" i="4"/>
  <c r="Z306" i="4"/>
  <c r="Y214" i="4"/>
  <c r="Z214" i="4"/>
  <c r="Z101" i="4"/>
  <c r="Y101" i="4"/>
  <c r="Y147" i="4"/>
  <c r="Z147" i="4"/>
  <c r="Y78" i="4"/>
  <c r="Z78" i="4"/>
  <c r="Y307" i="4"/>
  <c r="Z307" i="4"/>
  <c r="Y161" i="4"/>
  <c r="Z70" i="4"/>
  <c r="Y145" i="4"/>
  <c r="Z250" i="4"/>
  <c r="Y118" i="4"/>
  <c r="Z225" i="4"/>
  <c r="Y225" i="4"/>
  <c r="Y170" i="4"/>
  <c r="Z170" i="4"/>
  <c r="Z136" i="4"/>
  <c r="Y71" i="4"/>
  <c r="Y232" i="4"/>
  <c r="Z232" i="4"/>
  <c r="Y210" i="4"/>
  <c r="Z210" i="4"/>
  <c r="Y178" i="4"/>
  <c r="Z178" i="4"/>
  <c r="Y67" i="4"/>
  <c r="Y223" i="4"/>
  <c r="Z223" i="4"/>
  <c r="Z47" i="4"/>
  <c r="Z249" i="4"/>
  <c r="Z16" i="4"/>
  <c r="Y253" i="4"/>
  <c r="Z253" i="4"/>
  <c r="Y81" i="4"/>
  <c r="Y54" i="4"/>
  <c r="Z54" i="4"/>
  <c r="Z45" i="4"/>
  <c r="Y130" i="4"/>
  <c r="Y227" i="4"/>
  <c r="Z227" i="4"/>
  <c r="Y126" i="4"/>
  <c r="Z126" i="4"/>
  <c r="Y90" i="4"/>
  <c r="Y195" i="4"/>
  <c r="Z195" i="4"/>
  <c r="Y103" i="4"/>
  <c r="Y137" i="4"/>
  <c r="Z137" i="4"/>
  <c r="Z305" i="4"/>
  <c r="Y43" i="4"/>
  <c r="Z151" i="4"/>
  <c r="Y107" i="4"/>
  <c r="Z107" i="4"/>
  <c r="Y100" i="4"/>
  <c r="Y73" i="4"/>
  <c r="Z73" i="4"/>
  <c r="Y37" i="4"/>
  <c r="Z37" i="4"/>
  <c r="Y23" i="4"/>
  <c r="Y114" i="4"/>
  <c r="Z114" i="4"/>
  <c r="Y148" i="4"/>
  <c r="Z148" i="4"/>
  <c r="Y134" i="4"/>
  <c r="Y119" i="4"/>
  <c r="Y243" i="4"/>
  <c r="Z251" i="4"/>
  <c r="Y30" i="4"/>
  <c r="Z30" i="4"/>
  <c r="Y166" i="4"/>
  <c r="Z166" i="4"/>
  <c r="Y52" i="4"/>
  <c r="Z140" i="4"/>
  <c r="Z247" i="4"/>
  <c r="Y11" i="4"/>
  <c r="Z11" i="4"/>
  <c r="Y163" i="4"/>
  <c r="Z163" i="4"/>
  <c r="Z36" i="4"/>
  <c r="Z204" i="4"/>
  <c r="Z17" i="4"/>
  <c r="Z8" i="4"/>
  <c r="Y4" i="4"/>
  <c r="Y218" i="4"/>
  <c r="Y199" i="4"/>
  <c r="Y141" i="4"/>
  <c r="Z141" i="4"/>
  <c r="Y194" i="4"/>
  <c r="Z194" i="4"/>
  <c r="Y302" i="4"/>
  <c r="Z40" i="4"/>
  <c r="Y58" i="4"/>
  <c r="Y96" i="4"/>
  <c r="Z96" i="4"/>
  <c r="Y219" i="4"/>
  <c r="Z219" i="4"/>
  <c r="Y252" i="4"/>
  <c r="Z32" i="4"/>
  <c r="Y20" i="4"/>
  <c r="Z20" i="4"/>
  <c r="O489" i="1"/>
  <c r="O388" i="1"/>
  <c r="P388" i="1" s="1"/>
  <c r="O476" i="1"/>
  <c r="P476" i="1" s="1"/>
  <c r="O458" i="1"/>
  <c r="P458" i="1" s="1"/>
  <c r="O356" i="1"/>
  <c r="P356" i="1" s="1"/>
  <c r="O447" i="1"/>
  <c r="P447" i="1" s="1"/>
  <c r="O332" i="1"/>
  <c r="P332" i="1" s="1"/>
  <c r="Q332" i="1" s="1"/>
  <c r="O324" i="1"/>
  <c r="P324" i="1" s="1"/>
  <c r="O427" i="1"/>
  <c r="P427" i="1" s="1"/>
  <c r="R427" i="1" s="1"/>
  <c r="O404" i="1"/>
  <c r="P404" i="1" s="1"/>
  <c r="O398" i="1"/>
  <c r="P398" i="1" s="1"/>
  <c r="O391" i="1"/>
  <c r="P391" i="1" s="1"/>
  <c r="O390" i="1"/>
  <c r="P390" i="1" s="1"/>
  <c r="O220" i="1"/>
  <c r="P220" i="1" s="1"/>
  <c r="O204" i="1"/>
  <c r="P204" i="1" s="1"/>
  <c r="R204" i="1" s="1"/>
  <c r="O10" i="1"/>
  <c r="P10" i="1" s="1"/>
  <c r="O363" i="1"/>
  <c r="P363" i="1" s="1"/>
  <c r="O180" i="1"/>
  <c r="P180" i="1" s="1"/>
  <c r="O172" i="1"/>
  <c r="P172" i="1" s="1"/>
  <c r="O96" i="1"/>
  <c r="P96" i="1" s="1"/>
  <c r="O156" i="1"/>
  <c r="P156" i="1" s="1"/>
  <c r="O335" i="1"/>
  <c r="P335" i="1" s="1"/>
  <c r="O111" i="1"/>
  <c r="P111" i="1" s="1"/>
  <c r="R111" i="1" s="1"/>
  <c r="O325" i="1"/>
  <c r="P325" i="1" s="1"/>
  <c r="R325" i="1" s="1"/>
  <c r="O124" i="1"/>
  <c r="P124" i="1" s="1"/>
  <c r="O320" i="1"/>
  <c r="P320" i="1" s="1"/>
  <c r="O108" i="1"/>
  <c r="P108" i="1" s="1"/>
  <c r="O100" i="1"/>
  <c r="P100" i="1" s="1"/>
  <c r="O315" i="1"/>
  <c r="P315" i="1" s="1"/>
  <c r="O84" i="1"/>
  <c r="P84" i="1" s="1"/>
  <c r="O76" i="1"/>
  <c r="P76" i="1" s="1"/>
  <c r="Q76" i="1" s="1"/>
  <c r="O309" i="1"/>
  <c r="P309" i="1" s="1"/>
  <c r="O60" i="1"/>
  <c r="P60" i="1" s="1"/>
  <c r="O67" i="1"/>
  <c r="P67" i="1" s="1"/>
  <c r="O195" i="1"/>
  <c r="P195" i="1" s="1"/>
  <c r="O36" i="1"/>
  <c r="P36" i="1" s="1"/>
  <c r="O28" i="1"/>
  <c r="P28" i="1" s="1"/>
  <c r="O20" i="1"/>
  <c r="P20" i="1" s="1"/>
  <c r="O169" i="1"/>
  <c r="P169" i="1" s="1"/>
  <c r="Q169" i="1" s="1"/>
  <c r="O198" i="1"/>
  <c r="P198" i="1" s="1"/>
  <c r="O159" i="1"/>
  <c r="P159" i="1" s="1"/>
  <c r="O113" i="1"/>
  <c r="P113" i="1" s="1"/>
  <c r="O102" i="1"/>
  <c r="P102" i="1" s="1"/>
  <c r="O260" i="1"/>
  <c r="P260" i="1" s="1"/>
  <c r="O252" i="1"/>
  <c r="P252" i="1" s="1"/>
  <c r="R252" i="1" s="1"/>
  <c r="O244" i="1"/>
  <c r="P244" i="1" s="1"/>
  <c r="R244" i="1" s="1"/>
  <c r="O236" i="1"/>
  <c r="P236" i="1" s="1"/>
  <c r="R236" i="1" s="1"/>
  <c r="O228" i="1"/>
  <c r="P228" i="1" s="1"/>
  <c r="O119" i="1"/>
  <c r="P119" i="1" s="1"/>
  <c r="O503" i="1"/>
  <c r="P503" i="1" s="1"/>
  <c r="R503" i="1" s="1"/>
  <c r="O212" i="1"/>
  <c r="P212" i="1" s="1"/>
  <c r="O487" i="1"/>
  <c r="P487" i="1" s="1"/>
  <c r="O514" i="1"/>
  <c r="P514" i="1" s="1"/>
  <c r="Q514" i="1" s="1"/>
  <c r="O463" i="1"/>
  <c r="P463" i="1" s="1"/>
  <c r="R463" i="1" s="1"/>
  <c r="O504" i="1"/>
  <c r="P504" i="1" s="1"/>
  <c r="R504" i="1" s="1"/>
  <c r="O259" i="1"/>
  <c r="P259" i="1" s="1"/>
  <c r="R259" i="1" s="1"/>
  <c r="O230" i="1"/>
  <c r="P230" i="1" s="1"/>
  <c r="R230" i="1" s="1"/>
  <c r="O497" i="1"/>
  <c r="P497" i="1" s="1"/>
  <c r="O423" i="1"/>
  <c r="P423" i="1" s="1"/>
  <c r="O415" i="1"/>
  <c r="P415" i="1" s="1"/>
  <c r="O407" i="1"/>
  <c r="P407" i="1" s="1"/>
  <c r="R407" i="1" s="1"/>
  <c r="O399" i="1"/>
  <c r="P399" i="1" s="1"/>
  <c r="Q399" i="1" s="1"/>
  <c r="O485" i="1"/>
  <c r="P485" i="1" s="1"/>
  <c r="R485" i="1" s="1"/>
  <c r="O484" i="1"/>
  <c r="P484" i="1" s="1"/>
  <c r="Q484" i="1" s="1"/>
  <c r="O375" i="1"/>
  <c r="P375" i="1" s="1"/>
  <c r="Q375" i="1" s="1"/>
  <c r="O466" i="1"/>
  <c r="P466" i="1" s="1"/>
  <c r="O99" i="1"/>
  <c r="P99" i="1" s="1"/>
  <c r="O351" i="1"/>
  <c r="P351" i="1" s="1"/>
  <c r="O343" i="1"/>
  <c r="P343" i="1" s="1"/>
  <c r="Q343" i="1" s="1"/>
  <c r="O38" i="1"/>
  <c r="P38" i="1" s="1"/>
  <c r="R38" i="1" s="1"/>
  <c r="O29" i="1"/>
  <c r="P29" i="1" s="1"/>
  <c r="R29" i="1" s="1"/>
  <c r="O319" i="1"/>
  <c r="P319" i="1" s="1"/>
  <c r="R319" i="1" s="1"/>
  <c r="O52" i="1"/>
  <c r="P52" i="1" s="1"/>
  <c r="R52" i="1" s="1"/>
  <c r="O414" i="1"/>
  <c r="P414" i="1" s="1"/>
  <c r="O408" i="1"/>
  <c r="P408" i="1" s="1"/>
  <c r="O287" i="1"/>
  <c r="P287" i="1" s="1"/>
  <c r="O383" i="1"/>
  <c r="P383" i="1" s="1"/>
  <c r="Q383" i="1" s="1"/>
  <c r="O271" i="1"/>
  <c r="P271" i="1" s="1"/>
  <c r="R271" i="1" s="1"/>
  <c r="O263" i="1"/>
  <c r="P263" i="1" s="1"/>
  <c r="Q263" i="1" s="1"/>
  <c r="O255" i="1"/>
  <c r="P255" i="1" s="1"/>
  <c r="Q255" i="1" s="1"/>
  <c r="O247" i="1"/>
  <c r="P247" i="1" s="1"/>
  <c r="R247" i="1" s="1"/>
  <c r="O239" i="1"/>
  <c r="P239" i="1" s="1"/>
  <c r="O369" i="1"/>
  <c r="P369" i="1" s="1"/>
  <c r="O162" i="1"/>
  <c r="P162" i="1" s="1"/>
  <c r="O215" i="1"/>
  <c r="P215" i="1" s="1"/>
  <c r="R215" i="1" s="1"/>
  <c r="O365" i="1"/>
  <c r="P365" i="1" s="1"/>
  <c r="R365" i="1" s="1"/>
  <c r="O199" i="1"/>
  <c r="P199" i="1" s="1"/>
  <c r="R199" i="1" s="1"/>
  <c r="O8" i="1"/>
  <c r="P8" i="1" s="1"/>
  <c r="R8" i="1" s="1"/>
  <c r="O183" i="1"/>
  <c r="P183" i="1" s="1"/>
  <c r="R183" i="1" s="1"/>
  <c r="O348" i="1"/>
  <c r="P348" i="1" s="1"/>
  <c r="R348" i="1" s="1"/>
  <c r="O425" i="1"/>
  <c r="P425" i="1" s="1"/>
  <c r="O401" i="1"/>
  <c r="P401" i="1" s="1"/>
  <c r="O291" i="1"/>
  <c r="P291" i="1" s="1"/>
  <c r="Q291" i="1" s="1"/>
  <c r="O17" i="1"/>
  <c r="P17" i="1" s="1"/>
  <c r="Q17" i="1" s="1"/>
  <c r="O376" i="1"/>
  <c r="P376" i="1" s="1"/>
  <c r="R376" i="1" s="1"/>
  <c r="O267" i="1"/>
  <c r="P267" i="1" s="1"/>
  <c r="R267" i="1" s="1"/>
  <c r="O196" i="1"/>
  <c r="P196" i="1" s="1"/>
  <c r="Q196" i="1" s="1"/>
  <c r="O146" i="1"/>
  <c r="P146" i="1" s="1"/>
  <c r="Q146" i="1" s="1"/>
  <c r="O243" i="1"/>
  <c r="P243" i="1" s="1"/>
  <c r="O235" i="1"/>
  <c r="P235" i="1" s="1"/>
  <c r="O367" i="1"/>
  <c r="P367" i="1" s="1"/>
  <c r="R367" i="1" s="1"/>
  <c r="O219" i="1"/>
  <c r="P219" i="1" s="1"/>
  <c r="R219" i="1" s="1"/>
  <c r="O229" i="1"/>
  <c r="P229" i="1" s="1"/>
  <c r="Q229" i="1" s="1"/>
  <c r="O203" i="1"/>
  <c r="P203" i="1" s="1"/>
  <c r="R203" i="1" s="1"/>
  <c r="O94" i="1"/>
  <c r="P94" i="1" s="1"/>
  <c r="Q94" i="1" s="1"/>
  <c r="O362" i="1"/>
  <c r="P362" i="1" s="1"/>
  <c r="Q362" i="1" s="1"/>
  <c r="O354" i="1"/>
  <c r="P354" i="1" s="1"/>
  <c r="O44" i="1"/>
  <c r="P44" i="1" s="1"/>
  <c r="O64" i="1"/>
  <c r="P64" i="1" s="1"/>
  <c r="Q64" i="1" s="1"/>
  <c r="O83" i="1"/>
  <c r="P83" i="1" s="1"/>
  <c r="Q83" i="1" s="1"/>
  <c r="O147" i="1"/>
  <c r="P147" i="1" s="1"/>
  <c r="Q147" i="1" s="1"/>
  <c r="O330" i="1"/>
  <c r="P330" i="1" s="1"/>
  <c r="R330" i="1" s="1"/>
  <c r="O131" i="1"/>
  <c r="P131" i="1" s="1"/>
  <c r="R131" i="1" s="1"/>
  <c r="O123" i="1"/>
  <c r="P123" i="1" s="1"/>
  <c r="Q123" i="1" s="1"/>
  <c r="O314" i="1"/>
  <c r="P314" i="1" s="1"/>
  <c r="O107" i="1"/>
  <c r="P107" i="1" s="1"/>
  <c r="O23" i="1"/>
  <c r="P23" i="1" s="1"/>
  <c r="Q23" i="1" s="1"/>
  <c r="O311" i="1"/>
  <c r="P311" i="1" s="1"/>
  <c r="Q311" i="1" s="1"/>
  <c r="O310" i="1"/>
  <c r="P310" i="1" s="1"/>
  <c r="Q310" i="1" s="1"/>
  <c r="O75" i="1"/>
  <c r="P75" i="1" s="1"/>
  <c r="R75" i="1" s="1"/>
  <c r="O277" i="1"/>
  <c r="P277" i="1" s="1"/>
  <c r="Q277" i="1" s="1"/>
  <c r="O59" i="1"/>
  <c r="P59" i="1" s="1"/>
  <c r="Q59" i="1" s="1"/>
  <c r="O304" i="1"/>
  <c r="P304" i="1" s="1"/>
  <c r="O300" i="1"/>
  <c r="P300" i="1" s="1"/>
  <c r="O297" i="1"/>
  <c r="P297" i="1" s="1"/>
  <c r="Q297" i="1" s="1"/>
  <c r="O27" i="1"/>
  <c r="P27" i="1" s="1"/>
  <c r="Q27" i="1" s="1"/>
  <c r="O122" i="1"/>
  <c r="P122" i="1" s="1"/>
  <c r="Q122" i="1" s="1"/>
  <c r="O11" i="1"/>
  <c r="P11" i="1" s="1"/>
  <c r="R11" i="1" s="1"/>
  <c r="O3" i="1"/>
  <c r="P3" i="1" s="1"/>
  <c r="Q3" i="1" s="1"/>
  <c r="O511" i="1"/>
  <c r="P511" i="1" s="1"/>
  <c r="Q511" i="1" s="1"/>
  <c r="O382" i="1"/>
  <c r="P382" i="1" s="1"/>
  <c r="O374" i="1"/>
  <c r="P374" i="1" s="1"/>
  <c r="O358" i="1"/>
  <c r="P358" i="1" s="1"/>
  <c r="R358" i="1" s="1"/>
  <c r="O350" i="1"/>
  <c r="P350" i="1" s="1"/>
  <c r="R350" i="1" s="1"/>
  <c r="O342" i="1"/>
  <c r="P342" i="1" s="1"/>
  <c r="Q342" i="1" s="1"/>
  <c r="O140" i="1"/>
  <c r="P140" i="1" s="1"/>
  <c r="R140" i="1" s="1"/>
  <c r="O431" i="1"/>
  <c r="P431" i="1" s="1"/>
  <c r="R431" i="1" s="1"/>
  <c r="O428" i="1"/>
  <c r="P428" i="1" s="1"/>
  <c r="R428" i="1" s="1"/>
  <c r="O294" i="1"/>
  <c r="P294" i="1" s="1"/>
  <c r="O395" i="1"/>
  <c r="P395" i="1" s="1"/>
  <c r="O278" i="1"/>
  <c r="P278" i="1" s="1"/>
  <c r="R278" i="1" s="1"/>
  <c r="O270" i="1"/>
  <c r="P270" i="1" s="1"/>
  <c r="R270" i="1" s="1"/>
  <c r="O262" i="1"/>
  <c r="P262" i="1" s="1"/>
  <c r="R262" i="1" s="1"/>
  <c r="O254" i="1"/>
  <c r="P254" i="1" s="1"/>
  <c r="Q254" i="1" s="1"/>
  <c r="O246" i="1"/>
  <c r="P246" i="1" s="1"/>
  <c r="Q246" i="1" s="1"/>
  <c r="O238" i="1"/>
  <c r="P238" i="1" s="1"/>
  <c r="R238" i="1" s="1"/>
  <c r="O366" i="1"/>
  <c r="P366" i="1" s="1"/>
  <c r="O222" i="1"/>
  <c r="P222" i="1" s="1"/>
  <c r="R222" i="1" s="1"/>
  <c r="O214" i="1"/>
  <c r="P214" i="1" s="1"/>
  <c r="Q214" i="1" s="1"/>
  <c r="O93" i="1"/>
  <c r="P93" i="1" s="1"/>
  <c r="R93" i="1" s="1"/>
  <c r="O360" i="1"/>
  <c r="P360" i="1" s="1"/>
  <c r="R360" i="1" s="1"/>
  <c r="O190" i="1"/>
  <c r="P190" i="1" s="1"/>
  <c r="R190" i="1" s="1"/>
  <c r="O359" i="1"/>
  <c r="P359" i="1" s="1"/>
  <c r="R359" i="1" s="1"/>
  <c r="O174" i="1"/>
  <c r="P174" i="1" s="1"/>
  <c r="Q174" i="1" s="1"/>
  <c r="O166" i="1"/>
  <c r="P166" i="1" s="1"/>
  <c r="O158" i="1"/>
  <c r="P158" i="1" s="1"/>
  <c r="O9" i="1"/>
  <c r="P9" i="1" s="1"/>
  <c r="R9" i="1" s="1"/>
  <c r="O142" i="1"/>
  <c r="P142" i="1" s="1"/>
  <c r="R142" i="1" s="1"/>
  <c r="O134" i="1"/>
  <c r="P134" i="1" s="1"/>
  <c r="R134" i="1" s="1"/>
  <c r="O43" i="1"/>
  <c r="P43" i="1" s="1"/>
  <c r="R43" i="1" s="1"/>
  <c r="O208" i="1"/>
  <c r="P208" i="1" s="1"/>
  <c r="R208" i="1" s="1"/>
  <c r="O164" i="1"/>
  <c r="P164" i="1" s="1"/>
  <c r="R164" i="1" s="1"/>
  <c r="O225" i="1"/>
  <c r="P225" i="1" s="1"/>
  <c r="O16" i="1"/>
  <c r="P16" i="1" s="1"/>
  <c r="R16" i="1" s="1"/>
  <c r="O86" i="1"/>
  <c r="P86" i="1" s="1"/>
  <c r="R86" i="1" s="1"/>
  <c r="O78" i="1"/>
  <c r="P78" i="1" s="1"/>
  <c r="R78" i="1" s="1"/>
  <c r="O70" i="1"/>
  <c r="P70" i="1" s="1"/>
  <c r="R70" i="1" s="1"/>
  <c r="O62" i="1"/>
  <c r="P62" i="1" s="1"/>
  <c r="Q62" i="1" s="1"/>
  <c r="O54" i="1"/>
  <c r="P54" i="1" s="1"/>
  <c r="Q54" i="1" s="1"/>
  <c r="O46" i="1"/>
  <c r="P46" i="1" s="1"/>
  <c r="Q46" i="1" s="1"/>
  <c r="O299" i="1"/>
  <c r="P299" i="1" s="1"/>
  <c r="O296" i="1"/>
  <c r="P296" i="1" s="1"/>
  <c r="O274" i="1"/>
  <c r="P274" i="1" s="1"/>
  <c r="R274" i="1" s="1"/>
  <c r="O175" i="1"/>
  <c r="P175" i="1" s="1"/>
  <c r="R175" i="1" s="1"/>
  <c r="O47" i="1"/>
  <c r="P47" i="1" s="1"/>
  <c r="R47" i="1" s="1"/>
  <c r="O523" i="1"/>
  <c r="P523" i="1" s="1"/>
  <c r="R523" i="1" s="1"/>
  <c r="O486" i="1"/>
  <c r="P486" i="1" s="1"/>
  <c r="R486" i="1" s="1"/>
  <c r="O501" i="1"/>
  <c r="P501" i="1" s="1"/>
  <c r="R501" i="1" s="1"/>
  <c r="O138" i="1"/>
  <c r="P138" i="1" s="1"/>
  <c r="O406" i="1"/>
  <c r="O127" i="1"/>
  <c r="P127" i="1" s="1"/>
  <c r="R127" i="1" s="1"/>
  <c r="O69" i="1"/>
  <c r="P69" i="1" s="1"/>
  <c r="R69" i="1" s="1"/>
  <c r="O465" i="1"/>
  <c r="P465" i="1" s="1"/>
  <c r="R465" i="1" s="1"/>
  <c r="O444" i="1"/>
  <c r="P444" i="1" s="1"/>
  <c r="Q444" i="1" s="1"/>
  <c r="O524" i="1"/>
  <c r="P524" i="1" s="1"/>
  <c r="R524" i="1" s="1"/>
  <c r="O194" i="1"/>
  <c r="P194" i="1" s="1"/>
  <c r="R194" i="1" s="1"/>
  <c r="O224" i="1"/>
  <c r="P224" i="1" s="1"/>
  <c r="R224" i="1" s="1"/>
  <c r="O90" i="1"/>
  <c r="P90" i="1" s="1"/>
  <c r="O477" i="1"/>
  <c r="P477" i="1" s="1"/>
  <c r="R477" i="1" s="1"/>
  <c r="O469" i="1"/>
  <c r="P469" i="1" s="1"/>
  <c r="R469" i="1" s="1"/>
  <c r="O509" i="1"/>
  <c r="P509" i="1" s="1"/>
  <c r="Q509" i="1" s="1"/>
  <c r="O453" i="1"/>
  <c r="P453" i="1" s="1"/>
  <c r="R453" i="1" s="1"/>
  <c r="O445" i="1"/>
  <c r="P445" i="1" s="1"/>
  <c r="R445" i="1" s="1"/>
  <c r="O24" i="1"/>
  <c r="P24" i="1" s="1"/>
  <c r="R24" i="1" s="1"/>
  <c r="O250" i="1"/>
  <c r="P250" i="1" s="1"/>
  <c r="R250" i="1" s="1"/>
  <c r="O421" i="1"/>
  <c r="P421" i="1" s="1"/>
  <c r="O413" i="1"/>
  <c r="P413" i="1" s="1"/>
  <c r="Q413" i="1" s="1"/>
  <c r="O405" i="1"/>
  <c r="P405" i="1" s="1"/>
  <c r="R405" i="1" s="1"/>
  <c r="O145" i="1"/>
  <c r="P145" i="1" s="1"/>
  <c r="Q145" i="1" s="1"/>
  <c r="O389" i="1"/>
  <c r="P389" i="1" s="1"/>
  <c r="Q389" i="1" s="1"/>
  <c r="O381" i="1"/>
  <c r="P381" i="1" s="1"/>
  <c r="R381" i="1" s="1"/>
  <c r="O461" i="1"/>
  <c r="P461" i="1" s="1"/>
  <c r="R461" i="1" s="1"/>
  <c r="O275" i="1"/>
  <c r="P275" i="1" s="1"/>
  <c r="Q275" i="1" s="1"/>
  <c r="O349" i="1"/>
  <c r="P349" i="1" s="1"/>
  <c r="O341" i="1"/>
  <c r="P341" i="1" s="1"/>
  <c r="Q341" i="1" s="1"/>
  <c r="O333" i="1"/>
  <c r="P333" i="1" s="1"/>
  <c r="R333" i="1" s="1"/>
  <c r="O438" i="1"/>
  <c r="P438" i="1" s="1"/>
  <c r="R438" i="1" s="1"/>
  <c r="O317" i="1"/>
  <c r="P317" i="1" s="1"/>
  <c r="R317" i="1" s="1"/>
  <c r="O430" i="1"/>
  <c r="P430" i="1" s="1"/>
  <c r="R430" i="1" s="1"/>
  <c r="O301" i="1"/>
  <c r="P301" i="1" s="1"/>
  <c r="R301" i="1" s="1"/>
  <c r="O293" i="1"/>
  <c r="P293" i="1" s="1"/>
  <c r="O285" i="1"/>
  <c r="P285" i="1" s="1"/>
  <c r="O139" i="1"/>
  <c r="P139" i="1" s="1"/>
  <c r="Q139" i="1" s="1"/>
  <c r="O269" i="1"/>
  <c r="P269" i="1" s="1"/>
  <c r="Q269" i="1" s="1"/>
  <c r="O261" i="1"/>
  <c r="P261" i="1" s="1"/>
  <c r="R261" i="1" s="1"/>
  <c r="O116" i="1"/>
  <c r="P116" i="1" s="1"/>
  <c r="R116" i="1" s="1"/>
  <c r="O245" i="1"/>
  <c r="P245" i="1" s="1"/>
  <c r="Q245" i="1" s="1"/>
  <c r="O237" i="1"/>
  <c r="P237" i="1" s="1"/>
  <c r="Q237" i="1" s="1"/>
  <c r="O368" i="1"/>
  <c r="P368" i="1" s="1"/>
  <c r="R368" i="1" s="1"/>
  <c r="O221" i="1"/>
  <c r="P221" i="1" s="1"/>
  <c r="O213" i="1"/>
  <c r="P213" i="1" s="1"/>
  <c r="R213" i="1" s="1"/>
  <c r="O205" i="1"/>
  <c r="P205" i="1" s="1"/>
  <c r="R205" i="1" s="1"/>
  <c r="O197" i="1"/>
  <c r="P197" i="1" s="1"/>
  <c r="R197" i="1" s="1"/>
  <c r="O189" i="1"/>
  <c r="P189" i="1" s="1"/>
  <c r="R189" i="1" s="1"/>
  <c r="O357" i="1"/>
  <c r="P357" i="1" s="1"/>
  <c r="Q357" i="1" s="1"/>
  <c r="O173" i="1"/>
  <c r="P173" i="1" s="1"/>
  <c r="R173" i="1" s="1"/>
  <c r="O345" i="1"/>
  <c r="P345" i="1" s="1"/>
  <c r="O334" i="1"/>
  <c r="P334" i="1" s="1"/>
  <c r="O149" i="1"/>
  <c r="P149" i="1" s="1"/>
  <c r="Q149" i="1" s="1"/>
  <c r="O141" i="1"/>
  <c r="P141" i="1" s="1"/>
  <c r="R141" i="1" s="1"/>
  <c r="O51" i="1"/>
  <c r="P51" i="1" s="1"/>
  <c r="R51" i="1" s="1"/>
  <c r="O326" i="1"/>
  <c r="P326" i="1" s="1"/>
  <c r="R326" i="1" s="1"/>
  <c r="O117" i="1"/>
  <c r="P117" i="1" s="1"/>
  <c r="Q117" i="1" s="1"/>
  <c r="O109" i="1"/>
  <c r="P109" i="1" s="1"/>
  <c r="R109" i="1" s="1"/>
  <c r="O101" i="1"/>
  <c r="P101" i="1" s="1"/>
  <c r="O316" i="1"/>
  <c r="P316" i="1" s="1"/>
  <c r="R316" i="1" s="1"/>
  <c r="O85" i="1"/>
  <c r="P85" i="1" s="1"/>
  <c r="R85" i="1" s="1"/>
  <c r="O91" i="1"/>
  <c r="P91" i="1" s="1"/>
  <c r="R91" i="1" s="1"/>
  <c r="O115" i="1"/>
  <c r="P115" i="1" s="1"/>
  <c r="Q115" i="1" s="1"/>
  <c r="O307" i="1"/>
  <c r="P307" i="1" s="1"/>
  <c r="Q307" i="1" s="1"/>
  <c r="O305" i="1"/>
  <c r="P305" i="1" s="1"/>
  <c r="R305" i="1" s="1"/>
  <c r="O45" i="1"/>
  <c r="P45" i="1" s="1"/>
  <c r="R45" i="1" s="1"/>
  <c r="O298" i="1"/>
  <c r="P298" i="1" s="1"/>
  <c r="R298" i="1" s="1"/>
  <c r="O171" i="1"/>
  <c r="P171" i="1" s="1"/>
  <c r="O289" i="1"/>
  <c r="P289" i="1" s="1"/>
  <c r="Q289" i="1" s="1"/>
  <c r="O13" i="1"/>
  <c r="P13" i="1" s="1"/>
  <c r="R13" i="1" s="1"/>
  <c r="O284" i="1"/>
  <c r="P284" i="1" s="1"/>
  <c r="Q284" i="1" s="1"/>
  <c r="O323" i="1"/>
  <c r="P323" i="1" s="1"/>
  <c r="Q323" i="1" s="1"/>
  <c r="O318" i="1"/>
  <c r="P318" i="1" s="1"/>
  <c r="R318" i="1" s="1"/>
  <c r="O479" i="1"/>
  <c r="P479" i="1" s="1"/>
  <c r="R479" i="1" s="1"/>
  <c r="O373" i="1"/>
  <c r="P373" i="1" s="1"/>
  <c r="R373" i="1" s="1"/>
  <c r="O63" i="1"/>
  <c r="P63" i="1" s="1"/>
  <c r="O331" i="1"/>
  <c r="P331" i="1" s="1"/>
  <c r="R331" i="1" s="1"/>
  <c r="O312" i="1"/>
  <c r="P312" i="1" s="1"/>
  <c r="R312" i="1" s="1"/>
  <c r="O12" i="1"/>
  <c r="P12" i="1" s="1"/>
  <c r="R12" i="1" s="1"/>
  <c r="O419" i="1"/>
  <c r="P419" i="1" s="1"/>
  <c r="R419" i="1" s="1"/>
  <c r="O396" i="1"/>
  <c r="P396" i="1" s="1"/>
  <c r="R396" i="1" s="1"/>
  <c r="O280" i="1"/>
  <c r="P280" i="1" s="1"/>
  <c r="R280" i="1" s="1"/>
  <c r="O272" i="1"/>
  <c r="P272" i="1" s="1"/>
  <c r="O264" i="1"/>
  <c r="P264" i="1" s="1"/>
  <c r="R264" i="1" s="1"/>
  <c r="O256" i="1"/>
  <c r="P256" i="1" s="1"/>
  <c r="Q256" i="1" s="1"/>
  <c r="O248" i="1"/>
  <c r="P248" i="1" s="1"/>
  <c r="Q248" i="1" s="1"/>
  <c r="O240" i="1"/>
  <c r="P240" i="1" s="1"/>
  <c r="R240" i="1" s="1"/>
  <c r="O380" i="1"/>
  <c r="P380" i="1" s="1"/>
  <c r="R380" i="1" s="1"/>
  <c r="O231" i="1"/>
  <c r="P231" i="1" s="1"/>
  <c r="R231" i="1" s="1"/>
  <c r="O216" i="1"/>
  <c r="P216" i="1" s="1"/>
  <c r="Q216" i="1" s="1"/>
  <c r="O2" i="1"/>
  <c r="P2" i="1" s="1"/>
  <c r="O364" i="1"/>
  <c r="P364" i="1" s="1"/>
  <c r="R364" i="1" s="1"/>
  <c r="O192" i="1"/>
  <c r="P192" i="1" s="1"/>
  <c r="Q192" i="1" s="1"/>
  <c r="O184" i="1"/>
  <c r="P184" i="1" s="1"/>
  <c r="R184" i="1" s="1"/>
  <c r="O133" i="1"/>
  <c r="P133" i="1" s="1"/>
  <c r="R133" i="1" s="1"/>
  <c r="O168" i="1"/>
  <c r="P168" i="1" s="1"/>
  <c r="R168" i="1" s="1"/>
  <c r="O160" i="1"/>
  <c r="P160" i="1" s="1"/>
  <c r="Q160" i="1" s="1"/>
  <c r="O152" i="1"/>
  <c r="P152" i="1" s="1"/>
  <c r="R152" i="1" s="1"/>
  <c r="O144" i="1"/>
  <c r="P144" i="1" s="1"/>
  <c r="Q144" i="1" s="1"/>
  <c r="O136" i="1"/>
  <c r="P136" i="1" s="1"/>
  <c r="R136" i="1" s="1"/>
  <c r="O157" i="1"/>
  <c r="P157" i="1" s="1"/>
  <c r="Q157" i="1" s="1"/>
  <c r="O211" i="1"/>
  <c r="P211" i="1" s="1"/>
  <c r="R211" i="1" s="1"/>
  <c r="O232" i="1"/>
  <c r="P232" i="1" s="1"/>
  <c r="R232" i="1" s="1"/>
  <c r="O104" i="1"/>
  <c r="P104" i="1" s="1"/>
  <c r="R104" i="1" s="1"/>
  <c r="O48" i="1"/>
  <c r="P48" i="1" s="1"/>
  <c r="R48" i="1" s="1"/>
  <c r="O88" i="1"/>
  <c r="P88" i="1" s="1"/>
  <c r="R88" i="1" s="1"/>
  <c r="O268" i="1"/>
  <c r="P268" i="1" s="1"/>
  <c r="Q268" i="1" s="1"/>
  <c r="O72" i="1"/>
  <c r="P72" i="1" s="1"/>
  <c r="Q72" i="1" s="1"/>
  <c r="O308" i="1"/>
  <c r="P308" i="1" s="1"/>
  <c r="Q308" i="1" s="1"/>
  <c r="O56" i="1"/>
  <c r="P56" i="1" s="1"/>
  <c r="Q56" i="1" s="1"/>
  <c r="O303" i="1"/>
  <c r="P303" i="1" s="1"/>
  <c r="R303" i="1" s="1"/>
  <c r="O40" i="1"/>
  <c r="P40" i="1" s="1"/>
  <c r="R40" i="1" s="1"/>
  <c r="O32" i="1"/>
  <c r="P32" i="1" s="1"/>
  <c r="R32" i="1" s="1"/>
  <c r="O179" i="1"/>
  <c r="P179" i="1" s="1"/>
  <c r="Q179" i="1" s="1"/>
  <c r="O22" i="1"/>
  <c r="P22" i="1" s="1"/>
  <c r="Q22" i="1" s="1"/>
  <c r="O286" i="1"/>
  <c r="P286" i="1" s="1"/>
  <c r="R286" i="1" s="1"/>
  <c r="O92" i="1"/>
  <c r="P92" i="1" s="1"/>
  <c r="R92" i="1" s="1"/>
  <c r="O432" i="1"/>
  <c r="P432" i="1" s="1"/>
  <c r="R432" i="1" s="1"/>
  <c r="O80" i="1"/>
  <c r="P80" i="1" s="1"/>
  <c r="R80" i="1" s="1"/>
  <c r="O491" i="1"/>
  <c r="P491" i="1" s="1"/>
  <c r="Q491" i="1" s="1"/>
  <c r="O400" i="1"/>
  <c r="P400" i="1" s="1"/>
  <c r="R400" i="1" s="1"/>
  <c r="O392" i="1"/>
  <c r="P392" i="1" s="1"/>
  <c r="Q392" i="1" s="1"/>
  <c r="O384" i="1"/>
  <c r="P384" i="1" s="1"/>
  <c r="Q384" i="1" s="1"/>
  <c r="O481" i="1"/>
  <c r="P481" i="1" s="1"/>
  <c r="R481" i="1" s="1"/>
  <c r="O471" i="1"/>
  <c r="P471" i="1" s="1"/>
  <c r="R471" i="1" s="1"/>
  <c r="O454" i="1"/>
  <c r="P454" i="1" s="1"/>
  <c r="R454" i="1" s="1"/>
  <c r="O352" i="1"/>
  <c r="P352" i="1" s="1"/>
  <c r="R352" i="1" s="1"/>
  <c r="O150" i="1"/>
  <c r="P150" i="1" s="1"/>
  <c r="R150" i="1" s="1"/>
  <c r="O336" i="1"/>
  <c r="P336" i="1" s="1"/>
  <c r="R336" i="1" s="1"/>
  <c r="O446" i="1"/>
  <c r="P446" i="1" s="1"/>
  <c r="R446" i="1" s="1"/>
  <c r="O437" i="1"/>
  <c r="P437" i="1" s="1"/>
  <c r="Q437" i="1" s="1"/>
  <c r="O531" i="1"/>
  <c r="P531" i="1" s="1"/>
  <c r="R531" i="1" s="1"/>
  <c r="O435" i="1"/>
  <c r="P435" i="1" s="1"/>
  <c r="R435" i="1" s="1"/>
  <c r="O493" i="1"/>
  <c r="P493" i="1" s="1"/>
  <c r="Q493" i="1" s="1"/>
  <c r="O126" i="1"/>
  <c r="P126" i="1" s="1"/>
  <c r="R126" i="1" s="1"/>
  <c r="O530" i="1"/>
  <c r="P530" i="1" s="1"/>
  <c r="Q530" i="1" s="1"/>
  <c r="O522" i="1"/>
  <c r="P522" i="1" s="1"/>
  <c r="R522" i="1" s="1"/>
  <c r="O253" i="1"/>
  <c r="P253" i="1" s="1"/>
  <c r="R253" i="1" s="1"/>
  <c r="O394" i="1"/>
  <c r="P394" i="1" s="1"/>
  <c r="Q394" i="1" s="1"/>
  <c r="O34" i="1"/>
  <c r="P34" i="1" s="1"/>
  <c r="Q34" i="1" s="1"/>
  <c r="O283" i="1"/>
  <c r="P283" i="1" s="1"/>
  <c r="R283" i="1" s="1"/>
  <c r="O128" i="1"/>
  <c r="P128" i="1" s="1"/>
  <c r="Q128" i="1" s="1"/>
  <c r="O455" i="1"/>
  <c r="P455" i="1" s="1"/>
  <c r="R455" i="1" s="1"/>
  <c r="O338" i="1"/>
  <c r="P338" i="1" s="1"/>
  <c r="Q338" i="1" s="1"/>
  <c r="O19" i="1"/>
  <c r="P19" i="1" s="1"/>
  <c r="R19" i="1" s="1"/>
  <c r="O429" i="1"/>
  <c r="P429" i="1" s="1"/>
  <c r="Q429" i="1" s="1"/>
  <c r="O282" i="1"/>
  <c r="P282" i="1" s="1"/>
  <c r="R282" i="1" s="1"/>
  <c r="O276" i="1"/>
  <c r="P276" i="1" s="1"/>
  <c r="Q276" i="1" s="1"/>
  <c r="O242" i="1"/>
  <c r="P242" i="1" s="1"/>
  <c r="R242" i="1" s="1"/>
  <c r="O226" i="1"/>
  <c r="P226" i="1" s="1"/>
  <c r="R226" i="1" s="1"/>
  <c r="O210" i="1"/>
  <c r="P210" i="1" s="1"/>
  <c r="R210" i="1" s="1"/>
  <c r="O186" i="1"/>
  <c r="P186" i="1" s="1"/>
  <c r="Q186" i="1" s="1"/>
  <c r="O344" i="1"/>
  <c r="P344" i="1" s="1"/>
  <c r="R344" i="1" s="1"/>
  <c r="O329" i="1"/>
  <c r="P329" i="1" s="1"/>
  <c r="R329" i="1" s="1"/>
  <c r="O14" i="1"/>
  <c r="P14" i="1" s="1"/>
  <c r="Q14" i="1" s="1"/>
  <c r="O106" i="1"/>
  <c r="P106" i="1" s="1"/>
  <c r="R106" i="1" s="1"/>
  <c r="O279" i="1"/>
  <c r="P279" i="1" s="1"/>
  <c r="R279" i="1" s="1"/>
  <c r="O306" i="1"/>
  <c r="P306" i="1" s="1"/>
  <c r="R306" i="1" s="1"/>
  <c r="O193" i="1"/>
  <c r="P193" i="1" s="1"/>
  <c r="Q193" i="1" s="1"/>
  <c r="O18" i="1"/>
  <c r="P18" i="1" s="1"/>
  <c r="Q18" i="1" s="1"/>
  <c r="O378" i="1"/>
  <c r="P378" i="1" s="1"/>
  <c r="Q378" i="1" s="1"/>
  <c r="O472" i="1"/>
  <c r="P472" i="1" s="1"/>
  <c r="Q472" i="1" s="1"/>
  <c r="O148" i="1"/>
  <c r="P148" i="1" s="1"/>
  <c r="Q148" i="1" s="1"/>
  <c r="O441" i="1"/>
  <c r="P441" i="1" s="1"/>
  <c r="R441" i="1" s="1"/>
  <c r="O97" i="1"/>
  <c r="P97" i="1" s="1"/>
  <c r="R97" i="1" s="1"/>
  <c r="O112" i="1"/>
  <c r="P112" i="1" s="1"/>
  <c r="R112" i="1" s="1"/>
  <c r="O397" i="1"/>
  <c r="P397" i="1" s="1"/>
  <c r="Q397" i="1" s="1"/>
  <c r="O372" i="1"/>
  <c r="P372" i="1" s="1"/>
  <c r="R372" i="1" s="1"/>
  <c r="O370" i="1"/>
  <c r="P370" i="1" s="1"/>
  <c r="Q370" i="1" s="1"/>
  <c r="O187" i="1"/>
  <c r="P187" i="1" s="1"/>
  <c r="R187" i="1" s="1"/>
  <c r="O234" i="1"/>
  <c r="P234" i="1" s="1"/>
  <c r="R234" i="1" s="1"/>
  <c r="O218" i="1"/>
  <c r="P218" i="1" s="1"/>
  <c r="R218" i="1" s="1"/>
  <c r="O202" i="1"/>
  <c r="P202" i="1" s="1"/>
  <c r="R202" i="1" s="1"/>
  <c r="O61" i="1"/>
  <c r="P61" i="1" s="1"/>
  <c r="Q61" i="1" s="1"/>
  <c r="O170" i="1"/>
  <c r="P170" i="1" s="1"/>
  <c r="R170" i="1" s="1"/>
  <c r="O340" i="1"/>
  <c r="P340" i="1" s="1"/>
  <c r="R340" i="1" s="1"/>
  <c r="O130" i="1"/>
  <c r="P130" i="1" s="1"/>
  <c r="R130" i="1" s="1"/>
  <c r="O5" i="1"/>
  <c r="P5" i="1" s="1"/>
  <c r="R5" i="1" s="1"/>
  <c r="O182" i="1"/>
  <c r="P182" i="1" s="1"/>
  <c r="Q182" i="1" s="1"/>
  <c r="O266" i="1"/>
  <c r="P266" i="1" s="1"/>
  <c r="Q266" i="1" s="1"/>
  <c r="O74" i="1"/>
  <c r="P74" i="1" s="1"/>
  <c r="R74" i="1" s="1"/>
  <c r="O66" i="1"/>
  <c r="P66" i="1" s="1"/>
  <c r="Q66" i="1" s="1"/>
  <c r="O50" i="1"/>
  <c r="P50" i="1" s="1"/>
  <c r="R50" i="1" s="1"/>
  <c r="O42" i="1"/>
  <c r="P42" i="1" s="1"/>
  <c r="R42" i="1" s="1"/>
  <c r="O26" i="1"/>
  <c r="P26" i="1" s="1"/>
  <c r="R26" i="1" s="1"/>
  <c r="O132" i="1"/>
  <c r="P132" i="1" s="1"/>
  <c r="R132" i="1" s="1"/>
  <c r="O386" i="1"/>
  <c r="P386" i="1" s="1"/>
  <c r="Q386" i="1" s="1"/>
  <c r="O527" i="1"/>
  <c r="P527" i="1" s="1"/>
  <c r="Q527" i="1" s="1"/>
  <c r="O525" i="1"/>
  <c r="P525" i="1" s="1"/>
  <c r="R525" i="1" s="1"/>
  <c r="O529" i="1"/>
  <c r="P529" i="1" s="1"/>
  <c r="Q529" i="1" s="1"/>
  <c r="O81" i="1"/>
  <c r="P81" i="1" s="1"/>
  <c r="R81" i="1" s="1"/>
  <c r="O528" i="1"/>
  <c r="P528" i="1" s="1"/>
  <c r="R528" i="1" s="1"/>
  <c r="O517" i="1"/>
  <c r="P517" i="1" s="1"/>
  <c r="Q517" i="1" s="1"/>
  <c r="O526" i="1"/>
  <c r="P526" i="1" s="1"/>
  <c r="R526" i="1" s="1"/>
  <c r="O515" i="1"/>
  <c r="P515" i="1" s="1"/>
  <c r="R515" i="1" s="1"/>
  <c r="O506" i="1"/>
  <c r="P506" i="1" s="1"/>
  <c r="Q506" i="1" s="1"/>
  <c r="O498" i="1"/>
  <c r="P498" i="1" s="1"/>
  <c r="R498" i="1" s="1"/>
  <c r="O21" i="1"/>
  <c r="P21" i="1" s="1"/>
  <c r="R21" i="1" s="1"/>
  <c r="O482" i="1"/>
  <c r="P482" i="1" s="1"/>
  <c r="R482" i="1" s="1"/>
  <c r="O512" i="1"/>
  <c r="P512" i="1" s="1"/>
  <c r="R512" i="1" s="1"/>
  <c r="O37" i="1"/>
  <c r="P37" i="1" s="1"/>
  <c r="R37" i="1" s="1"/>
  <c r="O450" i="1"/>
  <c r="P450" i="1" s="1"/>
  <c r="R450" i="1" s="1"/>
  <c r="O442" i="1"/>
  <c r="P442" i="1" s="1"/>
  <c r="Q442" i="1" s="1"/>
  <c r="O499" i="1"/>
  <c r="P499" i="1" s="1"/>
  <c r="Q499" i="1" s="1"/>
  <c r="O426" i="1"/>
  <c r="P426" i="1" s="1"/>
  <c r="R426" i="1" s="1"/>
  <c r="O418" i="1"/>
  <c r="P418" i="1" s="1"/>
  <c r="R418" i="1" s="1"/>
  <c r="O410" i="1"/>
  <c r="P410" i="1" s="1"/>
  <c r="Q410" i="1" s="1"/>
  <c r="O402" i="1"/>
  <c r="P402" i="1" s="1"/>
  <c r="R402" i="1" s="1"/>
  <c r="O513" i="1"/>
  <c r="P513" i="1" s="1"/>
  <c r="R513" i="1" s="1"/>
  <c r="O505" i="1"/>
  <c r="P505" i="1" s="1"/>
  <c r="R505" i="1" s="1"/>
  <c r="O519" i="1"/>
  <c r="P519" i="1" s="1"/>
  <c r="R519" i="1" s="1"/>
  <c r="O154" i="1"/>
  <c r="P154" i="1" s="1"/>
  <c r="R154" i="1" s="1"/>
  <c r="O188" i="1"/>
  <c r="P188" i="1" s="1"/>
  <c r="R188" i="1" s="1"/>
  <c r="O473" i="1"/>
  <c r="P473" i="1" s="1"/>
  <c r="R473" i="1" s="1"/>
  <c r="O249" i="1"/>
  <c r="P249" i="1" s="1"/>
  <c r="R249" i="1" s="1"/>
  <c r="O507" i="1"/>
  <c r="P507" i="1" s="1"/>
  <c r="R507" i="1" s="1"/>
  <c r="O449" i="1"/>
  <c r="P449" i="1" s="1"/>
  <c r="R449" i="1" s="1"/>
  <c r="O53" i="1"/>
  <c r="P53" i="1" s="1"/>
  <c r="R53" i="1" s="1"/>
  <c r="O433" i="1"/>
  <c r="P433" i="1" s="1"/>
  <c r="R433" i="1" s="1"/>
  <c r="O417" i="1"/>
  <c r="P417" i="1" s="1"/>
  <c r="Q417" i="1" s="1"/>
  <c r="O409" i="1"/>
  <c r="P409" i="1" s="1"/>
  <c r="Q409" i="1" s="1"/>
  <c r="O490" i="1"/>
  <c r="P490" i="1" s="1"/>
  <c r="R490" i="1" s="1"/>
  <c r="O393" i="1"/>
  <c r="P393" i="1" s="1"/>
  <c r="R393" i="1" s="1"/>
  <c r="O385" i="1"/>
  <c r="P385" i="1" s="1"/>
  <c r="Q385" i="1" s="1"/>
  <c r="O377" i="1"/>
  <c r="P377" i="1" s="1"/>
  <c r="R377" i="1" s="1"/>
  <c r="O258" i="1"/>
  <c r="P258" i="1" s="1"/>
  <c r="R258" i="1" s="1"/>
  <c r="O361" i="1"/>
  <c r="P361" i="1" s="1"/>
  <c r="R361" i="1" s="1"/>
  <c r="O353" i="1"/>
  <c r="P353" i="1" s="1"/>
  <c r="R353" i="1" s="1"/>
  <c r="O448" i="1"/>
  <c r="P448" i="1" s="1"/>
  <c r="Q448" i="1" s="1"/>
  <c r="O337" i="1"/>
  <c r="P337" i="1" s="1"/>
  <c r="R337" i="1" s="1"/>
  <c r="O439" i="1"/>
  <c r="P439" i="1" s="1"/>
  <c r="Q439" i="1" s="1"/>
  <c r="O321" i="1"/>
  <c r="P321" i="1" s="1"/>
  <c r="Q321" i="1" s="1"/>
  <c r="O313" i="1"/>
  <c r="P313" i="1" s="1"/>
  <c r="Q313" i="1" s="1"/>
  <c r="O416" i="1"/>
  <c r="P416" i="1" s="1"/>
  <c r="R416" i="1" s="1"/>
  <c r="O30" i="1"/>
  <c r="P30" i="1" s="1"/>
  <c r="R30" i="1" s="1"/>
  <c r="O110" i="1"/>
  <c r="P110" i="1" s="1"/>
  <c r="Q110" i="1" s="1"/>
  <c r="O281" i="1"/>
  <c r="P281" i="1" s="1"/>
  <c r="R281" i="1" s="1"/>
  <c r="O273" i="1"/>
  <c r="P273" i="1" s="1"/>
  <c r="R273" i="1" s="1"/>
  <c r="O265" i="1"/>
  <c r="P265" i="1" s="1"/>
  <c r="R265" i="1" s="1"/>
  <c r="O257" i="1"/>
  <c r="P257" i="1" s="1"/>
  <c r="Q257" i="1" s="1"/>
  <c r="O387" i="1"/>
  <c r="P387" i="1" s="1"/>
  <c r="R387" i="1" s="1"/>
  <c r="O241" i="1"/>
  <c r="P241" i="1" s="1"/>
  <c r="R241" i="1" s="1"/>
  <c r="O233" i="1"/>
  <c r="P233" i="1" s="1"/>
  <c r="R233" i="1" s="1"/>
  <c r="O163" i="1"/>
  <c r="P163" i="1" s="1"/>
  <c r="R163" i="1" s="1"/>
  <c r="O217" i="1"/>
  <c r="P217" i="1" s="1"/>
  <c r="R217" i="1" s="1"/>
  <c r="O209" i="1"/>
  <c r="P209" i="1" s="1"/>
  <c r="R209" i="1" s="1"/>
  <c r="O201" i="1"/>
  <c r="P201" i="1" s="1"/>
  <c r="R201" i="1" s="1"/>
  <c r="O206" i="1"/>
  <c r="P206" i="1" s="1"/>
  <c r="R206" i="1" s="1"/>
  <c r="O185" i="1"/>
  <c r="P185" i="1" s="1"/>
  <c r="R185" i="1" s="1"/>
  <c r="O178" i="1"/>
  <c r="P178" i="1" s="1"/>
  <c r="R178" i="1" s="1"/>
  <c r="O346" i="1"/>
  <c r="P346" i="1" s="1"/>
  <c r="R346" i="1" s="1"/>
  <c r="O161" i="1"/>
  <c r="P161" i="1" s="1"/>
  <c r="R161" i="1" s="1"/>
  <c r="O153" i="1"/>
  <c r="P153" i="1" s="1"/>
  <c r="R153" i="1" s="1"/>
  <c r="O328" i="1"/>
  <c r="P328" i="1" s="1"/>
  <c r="R328" i="1" s="1"/>
  <c r="O137" i="1"/>
  <c r="P137" i="1" s="1"/>
  <c r="R137" i="1" s="1"/>
  <c r="O129" i="1"/>
  <c r="P129" i="1" s="1"/>
  <c r="Q129" i="1" s="1"/>
  <c r="O121" i="1"/>
  <c r="P121" i="1" s="1"/>
  <c r="R121" i="1" s="1"/>
  <c r="O191" i="1"/>
  <c r="P191" i="1" s="1"/>
  <c r="R191" i="1" s="1"/>
  <c r="O105" i="1"/>
  <c r="P105" i="1" s="1"/>
  <c r="R105" i="1" s="1"/>
  <c r="O181" i="1"/>
  <c r="P181" i="1" s="1"/>
  <c r="R181" i="1" s="1"/>
  <c r="O89" i="1"/>
  <c r="P89" i="1" s="1"/>
  <c r="R89" i="1" s="1"/>
  <c r="O4" i="1"/>
  <c r="P4" i="1" s="1"/>
  <c r="Q4" i="1" s="1"/>
  <c r="O73" i="1"/>
  <c r="P73" i="1" s="1"/>
  <c r="R73" i="1" s="1"/>
  <c r="O65" i="1"/>
  <c r="P65" i="1" s="1"/>
  <c r="R65" i="1" s="1"/>
  <c r="O49" i="1"/>
  <c r="P49" i="1" s="1"/>
  <c r="R49" i="1" s="1"/>
  <c r="O41" i="1"/>
  <c r="P41" i="1" s="1"/>
  <c r="R41" i="1" s="1"/>
  <c r="O33" i="1"/>
  <c r="P33" i="1" s="1"/>
  <c r="R33" i="1" s="1"/>
  <c r="O295" i="1"/>
  <c r="P295" i="1" s="1"/>
  <c r="Q295" i="1" s="1"/>
  <c r="O292" i="1"/>
  <c r="P292" i="1" s="1"/>
  <c r="Q292" i="1" s="1"/>
  <c r="O288" i="1"/>
  <c r="P288" i="1" s="1"/>
  <c r="R288" i="1" s="1"/>
  <c r="O25" i="1"/>
  <c r="P25" i="1" s="1"/>
  <c r="Q25" i="1" s="1"/>
  <c r="O520" i="1"/>
  <c r="P520" i="1" s="1"/>
  <c r="Q520" i="1" s="1"/>
  <c r="O120" i="1"/>
  <c r="P120" i="1" s="1"/>
  <c r="R120" i="1" s="1"/>
  <c r="O251" i="1"/>
  <c r="P251" i="1" s="1"/>
  <c r="R251" i="1" s="1"/>
  <c r="O496" i="1"/>
  <c r="P496" i="1" s="1"/>
  <c r="Q496" i="1" s="1"/>
  <c r="O68" i="1"/>
  <c r="P68" i="1" s="1"/>
  <c r="Q68" i="1" s="1"/>
  <c r="O480" i="1"/>
  <c r="P480" i="1" s="1"/>
  <c r="R480" i="1" s="1"/>
  <c r="O464" i="1"/>
  <c r="P464" i="1" s="1"/>
  <c r="R464" i="1" s="1"/>
  <c r="O456" i="1"/>
  <c r="P456" i="1" s="1"/>
  <c r="R456" i="1" s="1"/>
  <c r="O77" i="1"/>
  <c r="P77" i="1" s="1"/>
  <c r="R77" i="1" s="1"/>
  <c r="O440" i="1"/>
  <c r="P440" i="1" s="1"/>
  <c r="Q440" i="1" s="1"/>
  <c r="O424" i="1"/>
  <c r="P424" i="1" s="1"/>
  <c r="R424" i="1" s="1"/>
  <c r="O510" i="1"/>
  <c r="P510" i="1" s="1"/>
  <c r="R510" i="1" s="1"/>
  <c r="O494" i="1"/>
  <c r="P494" i="1" s="1"/>
  <c r="R494" i="1" s="1"/>
  <c r="O478" i="1"/>
  <c r="P478" i="1" s="1"/>
  <c r="R478" i="1" s="1"/>
  <c r="O470" i="1"/>
  <c r="P470" i="1" s="1"/>
  <c r="R470" i="1" s="1"/>
  <c r="O462" i="1"/>
  <c r="P462" i="1" s="1"/>
  <c r="Q462" i="1" s="1"/>
  <c r="O125" i="1"/>
  <c r="P125" i="1" s="1"/>
  <c r="R125" i="1" s="1"/>
  <c r="O58" i="1"/>
  <c r="P58" i="1" s="1"/>
  <c r="Q58" i="1" s="1"/>
  <c r="O495" i="1"/>
  <c r="P495" i="1" s="1"/>
  <c r="R495" i="1" s="1"/>
  <c r="O422" i="1"/>
  <c r="P422" i="1" s="1"/>
  <c r="Q422" i="1" s="1"/>
  <c r="O227" i="1"/>
  <c r="P227" i="1" s="1"/>
  <c r="O420" i="1"/>
  <c r="P420" i="1" s="1"/>
  <c r="R420" i="1" s="1"/>
  <c r="O412" i="1"/>
  <c r="P412" i="1" s="1"/>
  <c r="Q412" i="1" s="1"/>
  <c r="O223" i="1"/>
  <c r="P223" i="1" s="1"/>
  <c r="O35" i="1"/>
  <c r="P35" i="1" s="1"/>
  <c r="R35" i="1" s="1"/>
  <c r="O6" i="1"/>
  <c r="P6" i="1" s="1"/>
  <c r="Q6" i="1" s="1"/>
  <c r="O518" i="1"/>
  <c r="P518" i="1" s="1"/>
  <c r="R518" i="1" s="1"/>
  <c r="O483" i="1"/>
  <c r="P483" i="1" s="1"/>
  <c r="Q483" i="1" s="1"/>
  <c r="O475" i="1"/>
  <c r="P475" i="1" s="1"/>
  <c r="R475" i="1" s="1"/>
  <c r="O467" i="1"/>
  <c r="P467" i="1" s="1"/>
  <c r="Q467" i="1" s="1"/>
  <c r="O459" i="1"/>
  <c r="P459" i="1" s="1"/>
  <c r="R459" i="1" s="1"/>
  <c r="O451" i="1"/>
  <c r="P451" i="1" s="1"/>
  <c r="Q451" i="1" s="1"/>
  <c r="O502" i="1"/>
  <c r="P502" i="1" s="1"/>
  <c r="R502" i="1" s="1"/>
  <c r="O98" i="1"/>
  <c r="P98" i="1" s="1"/>
  <c r="R98" i="1" s="1"/>
  <c r="O411" i="1"/>
  <c r="P411" i="1" s="1"/>
  <c r="Q411" i="1" s="1"/>
  <c r="O403" i="1"/>
  <c r="P403" i="1" s="1"/>
  <c r="R403" i="1" s="1"/>
  <c r="O488" i="1"/>
  <c r="P488" i="1" s="1"/>
  <c r="R488" i="1" s="1"/>
  <c r="O379" i="1"/>
  <c r="P379" i="1" s="1"/>
  <c r="R379" i="1" s="1"/>
  <c r="O371" i="1"/>
  <c r="P371" i="1" s="1"/>
  <c r="Q371" i="1" s="1"/>
  <c r="O457" i="1"/>
  <c r="P457" i="1" s="1"/>
  <c r="R457" i="1" s="1"/>
  <c r="O355" i="1"/>
  <c r="P355" i="1" s="1"/>
  <c r="Q355" i="1" s="1"/>
  <c r="O347" i="1"/>
  <c r="P347" i="1" s="1"/>
  <c r="Q347" i="1" s="1"/>
  <c r="O339" i="1"/>
  <c r="P339" i="1" s="1"/>
  <c r="R339" i="1" s="1"/>
  <c r="O443" i="1"/>
  <c r="P443" i="1" s="1"/>
  <c r="R443" i="1" s="1"/>
  <c r="O434" i="1"/>
  <c r="P434" i="1" s="1"/>
  <c r="Q434" i="1" s="1"/>
  <c r="P406" i="1"/>
  <c r="R406" i="1" s="1"/>
  <c r="O114" i="1"/>
  <c r="P114" i="1" s="1"/>
  <c r="O57" i="1"/>
  <c r="P57" i="1" s="1"/>
  <c r="Q11" i="1"/>
  <c r="R3" i="1"/>
  <c r="R159" i="1"/>
  <c r="Q159" i="1"/>
  <c r="O474" i="1"/>
  <c r="P474" i="1" s="1"/>
  <c r="Q222" i="1"/>
  <c r="P489" i="1"/>
  <c r="R489" i="1" s="1"/>
  <c r="Q503" i="1"/>
  <c r="R514" i="1"/>
  <c r="Q487" i="1"/>
  <c r="R487" i="1"/>
  <c r="R212" i="1"/>
  <c r="Q212" i="1"/>
  <c r="Q368" i="1"/>
  <c r="R334" i="1"/>
  <c r="Q334" i="1"/>
  <c r="Q316" i="1"/>
  <c r="R349" i="1"/>
  <c r="Q349" i="1"/>
  <c r="R99" i="1"/>
  <c r="Q99" i="1"/>
  <c r="R343" i="1"/>
  <c r="R408" i="1"/>
  <c r="Q408" i="1"/>
  <c r="R383" i="1"/>
  <c r="R369" i="1"/>
  <c r="Q369" i="1"/>
  <c r="R135" i="1"/>
  <c r="Q135" i="1"/>
  <c r="R382" i="1"/>
  <c r="Q382" i="1"/>
  <c r="R294" i="1"/>
  <c r="Q294" i="1"/>
  <c r="R395" i="1"/>
  <c r="Q395" i="1"/>
  <c r="R366" i="1"/>
  <c r="Q366" i="1"/>
  <c r="R214" i="1"/>
  <c r="R166" i="1"/>
  <c r="Q166" i="1"/>
  <c r="R158" i="1"/>
  <c r="Q158" i="1"/>
  <c r="R225" i="1"/>
  <c r="Q225" i="1"/>
  <c r="R421" i="1"/>
  <c r="Q421" i="1"/>
  <c r="R388" i="1"/>
  <c r="Q388" i="1"/>
  <c r="Q235" i="1"/>
  <c r="R235" i="1"/>
  <c r="Q427" i="1"/>
  <c r="R415" i="1"/>
  <c r="Q415" i="1"/>
  <c r="R293" i="1"/>
  <c r="Q293" i="1"/>
  <c r="R101" i="1"/>
  <c r="Q101" i="1"/>
  <c r="R138" i="1"/>
  <c r="Q138" i="1"/>
  <c r="R458" i="1"/>
  <c r="Q458" i="1"/>
  <c r="R102" i="1"/>
  <c r="Q102" i="1"/>
  <c r="R119" i="1"/>
  <c r="Q119" i="1"/>
  <c r="R180" i="1"/>
  <c r="Q180" i="1"/>
  <c r="R96" i="1"/>
  <c r="Q96" i="1"/>
  <c r="R320" i="1"/>
  <c r="Q320" i="1"/>
  <c r="R100" i="1"/>
  <c r="Q100" i="1"/>
  <c r="R315" i="1"/>
  <c r="Q315" i="1"/>
  <c r="R60" i="1"/>
  <c r="Q60" i="1"/>
  <c r="R28" i="1"/>
  <c r="Q28" i="1"/>
  <c r="R260" i="1"/>
  <c r="Q260" i="1"/>
  <c r="R221" i="1"/>
  <c r="Q221" i="1"/>
  <c r="R497" i="1"/>
  <c r="Q497" i="1"/>
  <c r="Q425" i="1"/>
  <c r="R425" i="1"/>
  <c r="Q243" i="1"/>
  <c r="R243" i="1"/>
  <c r="Q354" i="1"/>
  <c r="R354" i="1"/>
  <c r="R401" i="1"/>
  <c r="Q401" i="1"/>
  <c r="Q348" i="1"/>
  <c r="O521" i="1"/>
  <c r="P521" i="1" s="1"/>
  <c r="R198" i="1"/>
  <c r="Q198" i="1"/>
  <c r="R447" i="1"/>
  <c r="Q447" i="1"/>
  <c r="R398" i="1"/>
  <c r="Q398" i="1"/>
  <c r="R335" i="1"/>
  <c r="Q335" i="1"/>
  <c r="R374" i="1"/>
  <c r="Q374" i="1"/>
  <c r="Q252" i="1"/>
  <c r="Q44" i="1"/>
  <c r="R44" i="1"/>
  <c r="R124" i="1"/>
  <c r="Q124" i="1"/>
  <c r="R345" i="1"/>
  <c r="Q345" i="1"/>
  <c r="R171" i="1"/>
  <c r="Q171" i="1"/>
  <c r="R356" i="1"/>
  <c r="Q356" i="1"/>
  <c r="R404" i="1"/>
  <c r="Q404" i="1"/>
  <c r="R390" i="1"/>
  <c r="Q390" i="1"/>
  <c r="R228" i="1"/>
  <c r="Q228" i="1"/>
  <c r="R285" i="1"/>
  <c r="Q285" i="1"/>
  <c r="Q325" i="1"/>
  <c r="R275" i="1"/>
  <c r="R423" i="1"/>
  <c r="Q423" i="1"/>
  <c r="R476" i="1"/>
  <c r="Q476" i="1"/>
  <c r="R172" i="1"/>
  <c r="Q172" i="1"/>
  <c r="R90" i="1"/>
  <c r="Q90" i="1"/>
  <c r="R324" i="1"/>
  <c r="Q324" i="1"/>
  <c r="R10" i="1"/>
  <c r="Q10" i="1"/>
  <c r="R156" i="1"/>
  <c r="Q156" i="1"/>
  <c r="O82" i="1"/>
  <c r="P82" i="1" s="1"/>
  <c r="R466" i="1"/>
  <c r="Q466" i="1"/>
  <c r="R351" i="1"/>
  <c r="Q351" i="1"/>
  <c r="R414" i="1"/>
  <c r="Q414" i="1"/>
  <c r="Q287" i="1"/>
  <c r="R287" i="1"/>
  <c r="R239" i="1"/>
  <c r="Q239" i="1"/>
  <c r="R162" i="1"/>
  <c r="Q162" i="1"/>
  <c r="R167" i="1"/>
  <c r="Q167" i="1"/>
  <c r="R155" i="1"/>
  <c r="Q155" i="1"/>
  <c r="R151" i="1"/>
  <c r="Q151" i="1"/>
  <c r="R143" i="1"/>
  <c r="Q143" i="1"/>
  <c r="Q327" i="1"/>
  <c r="R327" i="1"/>
  <c r="R322" i="1"/>
  <c r="Q322" i="1"/>
  <c r="R15" i="1"/>
  <c r="Q15" i="1"/>
  <c r="R103" i="1"/>
  <c r="Q103" i="1"/>
  <c r="Q95" i="1"/>
  <c r="R95" i="1"/>
  <c r="R87" i="1"/>
  <c r="Q87" i="1"/>
  <c r="R79" i="1"/>
  <c r="Q79" i="1"/>
  <c r="R71" i="1"/>
  <c r="Q71" i="1"/>
  <c r="Q63" i="1"/>
  <c r="R63" i="1"/>
  <c r="R55" i="1"/>
  <c r="Q55" i="1"/>
  <c r="R302" i="1"/>
  <c r="Q302" i="1"/>
  <c r="R39" i="1"/>
  <c r="Q39" i="1"/>
  <c r="Q31" i="1"/>
  <c r="R31" i="1"/>
  <c r="R200" i="1"/>
  <c r="Q200" i="1"/>
  <c r="Q290" i="1"/>
  <c r="R290" i="1"/>
  <c r="R7" i="1"/>
  <c r="Q7" i="1"/>
  <c r="R113" i="1"/>
  <c r="Q113" i="1"/>
  <c r="R108" i="1"/>
  <c r="Q108" i="1"/>
  <c r="R363" i="1"/>
  <c r="Q363" i="1"/>
  <c r="R272" i="1"/>
  <c r="Q272" i="1"/>
  <c r="R2" i="1"/>
  <c r="Q2" i="1"/>
  <c r="R296" i="1"/>
  <c r="Q296" i="1"/>
  <c r="R391" i="1"/>
  <c r="Q391" i="1"/>
  <c r="Q107" i="1"/>
  <c r="R107" i="1"/>
  <c r="R309" i="1"/>
  <c r="Q309" i="1"/>
  <c r="R289" i="1"/>
  <c r="R299" i="1"/>
  <c r="Q299" i="1"/>
  <c r="Q373" i="1"/>
  <c r="R220" i="1"/>
  <c r="Q220" i="1"/>
  <c r="O207" i="1"/>
  <c r="P207" i="1" s="1"/>
  <c r="O165" i="1"/>
  <c r="P165" i="1" s="1"/>
  <c r="O508" i="1"/>
  <c r="P508" i="1" s="1"/>
  <c r="O500" i="1"/>
  <c r="P500" i="1" s="1"/>
  <c r="O492" i="1"/>
  <c r="P492" i="1" s="1"/>
  <c r="O176" i="1"/>
  <c r="P176" i="1" s="1"/>
  <c r="O516" i="1"/>
  <c r="P516" i="1" s="1"/>
  <c r="O468" i="1"/>
  <c r="P468" i="1" s="1"/>
  <c r="O460" i="1"/>
  <c r="P460" i="1" s="1"/>
  <c r="O452" i="1"/>
  <c r="P452" i="1" s="1"/>
  <c r="O118" i="1"/>
  <c r="P118" i="1" s="1"/>
  <c r="O436" i="1"/>
  <c r="P436" i="1" s="1"/>
  <c r="R84" i="1"/>
  <c r="Q84" i="1"/>
  <c r="R67" i="1"/>
  <c r="Q67" i="1"/>
  <c r="R195" i="1"/>
  <c r="Q195" i="1"/>
  <c r="R20" i="1"/>
  <c r="Q20" i="1"/>
  <c r="R169" i="1"/>
  <c r="Q304" i="1"/>
  <c r="R304" i="1"/>
  <c r="Q300" i="1"/>
  <c r="R300" i="1"/>
  <c r="R297" i="1"/>
  <c r="Q298" i="1"/>
  <c r="R22" i="1"/>
  <c r="Q16" i="1"/>
  <c r="R64" i="1"/>
  <c r="Q314" i="1"/>
  <c r="R314" i="1"/>
  <c r="R36" i="1"/>
  <c r="Q36" i="1"/>
  <c r="Q250" i="1"/>
  <c r="O177" i="1"/>
  <c r="P177" i="1" s="1"/>
  <c r="Z56" i="4" l="1"/>
  <c r="Z206" i="4"/>
  <c r="Y213" i="4"/>
  <c r="Y282" i="4"/>
  <c r="Z108" i="4"/>
  <c r="Z228" i="4"/>
  <c r="Z197" i="4"/>
  <c r="Z61" i="4"/>
  <c r="Z196" i="4"/>
  <c r="Z50" i="4"/>
  <c r="Z272" i="4"/>
  <c r="Y224" i="4"/>
  <c r="Z286" i="4"/>
  <c r="Z129" i="4"/>
  <c r="Z186" i="4"/>
  <c r="Z60" i="4"/>
  <c r="Y110" i="4"/>
  <c r="Y289" i="4"/>
  <c r="Z120" i="4"/>
  <c r="Y87" i="4"/>
  <c r="Y133" i="4"/>
  <c r="Y127" i="4"/>
  <c r="Z203" i="4"/>
  <c r="Y12" i="4"/>
  <c r="Y98" i="4"/>
  <c r="Z312" i="4"/>
  <c r="Z75" i="4"/>
  <c r="Y248" i="4"/>
  <c r="Y304" i="4"/>
  <c r="Z211" i="4"/>
  <c r="Z258" i="4"/>
  <c r="Z24" i="4"/>
  <c r="Z33" i="4"/>
  <c r="Z152" i="4"/>
  <c r="Z25" i="4"/>
  <c r="Z244" i="4"/>
  <c r="Z230" i="4"/>
  <c r="Z124" i="4"/>
  <c r="Z264" i="4"/>
  <c r="Z169" i="4"/>
  <c r="Y84" i="4"/>
  <c r="Z27" i="4"/>
  <c r="Y288" i="4"/>
  <c r="Y200" i="4"/>
  <c r="Y207" i="4"/>
  <c r="Y215" i="4"/>
  <c r="Y38" i="4"/>
  <c r="Z38" i="4"/>
  <c r="Y80" i="4"/>
  <c r="Z80" i="4"/>
  <c r="Z121" i="4"/>
  <c r="Y121" i="4"/>
  <c r="Z269" i="4"/>
  <c r="Z172" i="4"/>
  <c r="Y125" i="4"/>
  <c r="Z159" i="4"/>
  <c r="Y104" i="4"/>
  <c r="Z191" i="4"/>
  <c r="Z116" i="4"/>
  <c r="Y51" i="4"/>
  <c r="Y267" i="4"/>
  <c r="Y192" i="4"/>
  <c r="Z69" i="4"/>
  <c r="Z14" i="4"/>
  <c r="Z115" i="4"/>
  <c r="Z111" i="4"/>
  <c r="Z182" i="4"/>
  <c r="Y144" i="4"/>
  <c r="Z293" i="4"/>
  <c r="Z28" i="4"/>
  <c r="Z298" i="4"/>
  <c r="Z205" i="4"/>
  <c r="Z13" i="4"/>
  <c r="Y309" i="4"/>
  <c r="Z263" i="4"/>
  <c r="Z57" i="4"/>
  <c r="Z175" i="4"/>
  <c r="Y175" i="4"/>
  <c r="Y245" i="4"/>
  <c r="Z245" i="4"/>
  <c r="Z94" i="4"/>
  <c r="Z65" i="4"/>
  <c r="Z275" i="4"/>
  <c r="Z18" i="4"/>
  <c r="Y92" i="4"/>
  <c r="Z92" i="4"/>
  <c r="Y22" i="4"/>
  <c r="Z22" i="4"/>
  <c r="Z154" i="4"/>
  <c r="Y154" i="4"/>
  <c r="Y106" i="4"/>
  <c r="Z106" i="4"/>
  <c r="Z139" i="4"/>
  <c r="Y99" i="4"/>
  <c r="Z299" i="4"/>
  <c r="Z297" i="4"/>
  <c r="Y221" i="4"/>
  <c r="Z171" i="4"/>
  <c r="Y171" i="4"/>
  <c r="Y220" i="4"/>
  <c r="Z220" i="4"/>
  <c r="Y34" i="4"/>
  <c r="Z34" i="4"/>
  <c r="Y177" i="4"/>
  <c r="Z177" i="4"/>
  <c r="Z2" i="4"/>
  <c r="Y2" i="4"/>
  <c r="Z296" i="4"/>
  <c r="Y3" i="4"/>
  <c r="Z3" i="4"/>
  <c r="Y234" i="4"/>
  <c r="Z234" i="4"/>
  <c r="Y89" i="4"/>
  <c r="Z89" i="4"/>
  <c r="Y83" i="4"/>
  <c r="Z83" i="4"/>
  <c r="Y135" i="4"/>
  <c r="Z240" i="4"/>
  <c r="Z128" i="4"/>
  <c r="Z132" i="4"/>
  <c r="Z48" i="4"/>
  <c r="Y183" i="4"/>
  <c r="Z208" i="4"/>
  <c r="Z5" i="4"/>
  <c r="Z79" i="4"/>
  <c r="Y79" i="4"/>
  <c r="Z66" i="4"/>
  <c r="Y66" i="4"/>
  <c r="Y95" i="4"/>
  <c r="Z95" i="4"/>
  <c r="Y285" i="4"/>
  <c r="Z285" i="4"/>
  <c r="Y68" i="4"/>
  <c r="Z68" i="4"/>
  <c r="Y59" i="4"/>
  <c r="Z59" i="4"/>
  <c r="Y301" i="4"/>
  <c r="Z301" i="4"/>
  <c r="Y146" i="4"/>
  <c r="Z146" i="4"/>
  <c r="Y279" i="4"/>
  <c r="Z279" i="4"/>
  <c r="Y283" i="4"/>
  <c r="Z283" i="4"/>
  <c r="Z284" i="4"/>
  <c r="Z91" i="4"/>
  <c r="Z280" i="4"/>
  <c r="Z21" i="4"/>
  <c r="Z165" i="4"/>
  <c r="Z7" i="4"/>
  <c r="Z88" i="4"/>
  <c r="Z257" i="4"/>
  <c r="Y292" i="4"/>
  <c r="Z292" i="4"/>
  <c r="Z76" i="4"/>
  <c r="Y76" i="4"/>
  <c r="Y39" i="4"/>
  <c r="Z39" i="4"/>
  <c r="Z46" i="4"/>
  <c r="Z294" i="4"/>
  <c r="Z217" i="4"/>
  <c r="Z278" i="4"/>
  <c r="Z271" i="4"/>
  <c r="Y184" i="4"/>
  <c r="Z266" i="4"/>
  <c r="Y158" i="4"/>
  <c r="Z158" i="4"/>
  <c r="Y291" i="4"/>
  <c r="Z291" i="4"/>
  <c r="Z62" i="4"/>
  <c r="Y62" i="4"/>
  <c r="Y295" i="4"/>
  <c r="Z295" i="4"/>
  <c r="Z77" i="4"/>
  <c r="Y77" i="4"/>
  <c r="Y93" i="4"/>
  <c r="Z93" i="4"/>
  <c r="Z290" i="4"/>
  <c r="Y290" i="4"/>
  <c r="Y287" i="4"/>
  <c r="Z287" i="4"/>
  <c r="Y229" i="4"/>
  <c r="Z229" i="4"/>
  <c r="Y276" i="4"/>
  <c r="Z276" i="4"/>
  <c r="Y86" i="4"/>
  <c r="Z86" i="4"/>
  <c r="Z6" i="4"/>
  <c r="Y6" i="4"/>
  <c r="Y241" i="4"/>
  <c r="Z241" i="4"/>
  <c r="Z143" i="4"/>
  <c r="Y143" i="4"/>
  <c r="Z112" i="4"/>
  <c r="Z201" i="4"/>
  <c r="Y44" i="4"/>
  <c r="Y49" i="4"/>
  <c r="Z63" i="4"/>
  <c r="Z260" i="4"/>
  <c r="Z174" i="4"/>
  <c r="Z72" i="4"/>
  <c r="Y42" i="4"/>
  <c r="Y131" i="4"/>
  <c r="Z64" i="4"/>
  <c r="Y150" i="4"/>
  <c r="Y308" i="4"/>
  <c r="Z85" i="4"/>
  <c r="Z157" i="4"/>
  <c r="Y180" i="4"/>
  <c r="Z153" i="4"/>
  <c r="Z102" i="4"/>
  <c r="Y209" i="4"/>
  <c r="Z300" i="4"/>
  <c r="Y19" i="4"/>
  <c r="Z19" i="4"/>
  <c r="Y10" i="4"/>
  <c r="Z10" i="4"/>
  <c r="Z53" i="4"/>
  <c r="Z117" i="4"/>
  <c r="Z105" i="4"/>
  <c r="Y268" i="4"/>
  <c r="Z268" i="4"/>
  <c r="Y15" i="4"/>
  <c r="Z15" i="4"/>
  <c r="Z265" i="4"/>
  <c r="Y265" i="4"/>
  <c r="Z74" i="4"/>
  <c r="Z179" i="4"/>
  <c r="Y255" i="4"/>
  <c r="Z277" i="4"/>
  <c r="Y238" i="4"/>
  <c r="Z238" i="4"/>
  <c r="Z231" i="4"/>
  <c r="Y231" i="4"/>
  <c r="Y149" i="4"/>
  <c r="Z149" i="4"/>
  <c r="Z254" i="4"/>
  <c r="Y254" i="4"/>
  <c r="Z281" i="4"/>
  <c r="Y281" i="4"/>
  <c r="Y270" i="4"/>
  <c r="Z270" i="4"/>
  <c r="Y239" i="4"/>
  <c r="Z239" i="4"/>
  <c r="Z246" i="4"/>
  <c r="Y246" i="4"/>
  <c r="Y41" i="4"/>
  <c r="Z41" i="4"/>
  <c r="Z156" i="4"/>
  <c r="Y156" i="4"/>
  <c r="Y235" i="4"/>
  <c r="Z235" i="4"/>
  <c r="Y9" i="4"/>
  <c r="Z9" i="4"/>
  <c r="Y109" i="4"/>
  <c r="Z202" i="4"/>
  <c r="Z262" i="4"/>
  <c r="Y142" i="4"/>
  <c r="Z142" i="4"/>
  <c r="Z187" i="4"/>
  <c r="Y187" i="4"/>
  <c r="Y303" i="4"/>
  <c r="Z303" i="4"/>
  <c r="Z311" i="4"/>
  <c r="Y311" i="4"/>
  <c r="R76" i="1"/>
  <c r="R332" i="1"/>
  <c r="Q204" i="1"/>
  <c r="Q485" i="1"/>
  <c r="Q111" i="1"/>
  <c r="R17" i="1"/>
  <c r="Q244" i="1"/>
  <c r="Q236" i="1"/>
  <c r="Q38" i="1"/>
  <c r="Q367" i="1"/>
  <c r="Q85" i="1"/>
  <c r="R291" i="1"/>
  <c r="Q407" i="1"/>
  <c r="R413" i="1"/>
  <c r="R311" i="1"/>
  <c r="Q365" i="1"/>
  <c r="R27" i="1"/>
  <c r="R83" i="1"/>
  <c r="Q78" i="1"/>
  <c r="Q219" i="1"/>
  <c r="Q270" i="1"/>
  <c r="Q469" i="1"/>
  <c r="Q24" i="1"/>
  <c r="Q479" i="1"/>
  <c r="R375" i="1"/>
  <c r="R342" i="1"/>
  <c r="Q175" i="1"/>
  <c r="Q142" i="1"/>
  <c r="Q350" i="1"/>
  <c r="Q274" i="1"/>
  <c r="Q93" i="1"/>
  <c r="Q278" i="1"/>
  <c r="R399" i="1"/>
  <c r="Q463" i="1"/>
  <c r="Q134" i="1"/>
  <c r="Q360" i="1"/>
  <c r="Q271" i="1"/>
  <c r="Q86" i="1"/>
  <c r="R23" i="1"/>
  <c r="Q504" i="1"/>
  <c r="Q9" i="1"/>
  <c r="Q358" i="1"/>
  <c r="Q215" i="1"/>
  <c r="Q29" i="1"/>
  <c r="Q47" i="1"/>
  <c r="R444" i="1"/>
  <c r="R254" i="1"/>
  <c r="R323" i="1"/>
  <c r="R484" i="1"/>
  <c r="Q330" i="1"/>
  <c r="Q319" i="1"/>
  <c r="Q8" i="1"/>
  <c r="R255" i="1"/>
  <c r="Q267" i="1"/>
  <c r="Q317" i="1"/>
  <c r="R389" i="1"/>
  <c r="Q259" i="1"/>
  <c r="R229" i="1"/>
  <c r="Q376" i="1"/>
  <c r="R263" i="1"/>
  <c r="R94" i="1"/>
  <c r="Q75" i="1"/>
  <c r="Q199" i="1"/>
  <c r="R509" i="1"/>
  <c r="Q203" i="1"/>
  <c r="R147" i="1"/>
  <c r="R122" i="1"/>
  <c r="Q70" i="1"/>
  <c r="Q43" i="1"/>
  <c r="R277" i="1"/>
  <c r="Q131" i="1"/>
  <c r="R54" i="1"/>
  <c r="Q183" i="1"/>
  <c r="Q247" i="1"/>
  <c r="Q52" i="1"/>
  <c r="Q230" i="1"/>
  <c r="R117" i="1"/>
  <c r="R246" i="1"/>
  <c r="R245" i="1"/>
  <c r="Q359" i="1"/>
  <c r="Q173" i="1"/>
  <c r="R174" i="1"/>
  <c r="R123" i="1"/>
  <c r="Q194" i="1"/>
  <c r="Q45" i="1"/>
  <c r="Q238" i="1"/>
  <c r="Q445" i="1"/>
  <c r="R362" i="1"/>
  <c r="R237" i="1"/>
  <c r="Q431" i="1"/>
  <c r="Q164" i="1"/>
  <c r="Q262" i="1"/>
  <c r="R511" i="1"/>
  <c r="R59" i="1"/>
  <c r="R357" i="1"/>
  <c r="R46" i="1"/>
  <c r="Q381" i="1"/>
  <c r="Q428" i="1"/>
  <c r="R179" i="1"/>
  <c r="R196" i="1"/>
  <c r="R310" i="1"/>
  <c r="Q305" i="1"/>
  <c r="Q430" i="1"/>
  <c r="Q465" i="1"/>
  <c r="Q301" i="1"/>
  <c r="Q501" i="1"/>
  <c r="Q461" i="1"/>
  <c r="R146" i="1"/>
  <c r="Q486" i="1"/>
  <c r="Q208" i="1"/>
  <c r="Q116" i="1"/>
  <c r="Q326" i="1"/>
  <c r="Q524" i="1"/>
  <c r="Q318" i="1"/>
  <c r="Q453" i="1"/>
  <c r="R491" i="1"/>
  <c r="R62" i="1"/>
  <c r="Q523" i="1"/>
  <c r="R307" i="1"/>
  <c r="Q190" i="1"/>
  <c r="Q140" i="1"/>
  <c r="Q189" i="1"/>
  <c r="Q340" i="1"/>
  <c r="R341" i="1"/>
  <c r="R149" i="1"/>
  <c r="Q69" i="1"/>
  <c r="Q141" i="1"/>
  <c r="Q477" i="1"/>
  <c r="Q127" i="1"/>
  <c r="Q13" i="1"/>
  <c r="Q91" i="1"/>
  <c r="Q405" i="1"/>
  <c r="Q352" i="1"/>
  <c r="Q333" i="1"/>
  <c r="R139" i="1"/>
  <c r="Q197" i="1"/>
  <c r="Q454" i="1"/>
  <c r="Q205" i="1"/>
  <c r="R321" i="1"/>
  <c r="Q133" i="1"/>
  <c r="Q471" i="1"/>
  <c r="Q40" i="1"/>
  <c r="R145" i="1"/>
  <c r="Q213" i="1"/>
  <c r="R148" i="1"/>
  <c r="R269" i="1"/>
  <c r="Q224" i="1"/>
  <c r="R284" i="1"/>
  <c r="R192" i="1"/>
  <c r="Q438" i="1"/>
  <c r="Q261" i="1"/>
  <c r="R115" i="1"/>
  <c r="Q109" i="1"/>
  <c r="Q51" i="1"/>
  <c r="R248" i="1"/>
  <c r="Q242" i="1"/>
  <c r="Q331" i="1"/>
  <c r="Q303" i="1"/>
  <c r="R256" i="1"/>
  <c r="Q89" i="1"/>
  <c r="R56" i="1"/>
  <c r="Q232" i="1"/>
  <c r="Q168" i="1"/>
  <c r="R493" i="1"/>
  <c r="Q432" i="1"/>
  <c r="Q184" i="1"/>
  <c r="Q150" i="1"/>
  <c r="Q104" i="1"/>
  <c r="Q419" i="1"/>
  <c r="Q380" i="1"/>
  <c r="Q402" i="1"/>
  <c r="Q312" i="1"/>
  <c r="R257" i="1"/>
  <c r="R392" i="1"/>
  <c r="R216" i="1"/>
  <c r="Q387" i="1"/>
  <c r="Q281" i="1"/>
  <c r="R160" i="1"/>
  <c r="R394" i="1"/>
  <c r="Q92" i="1"/>
  <c r="R66" i="1"/>
  <c r="Q418" i="1"/>
  <c r="R61" i="1"/>
  <c r="Q211" i="1"/>
  <c r="R128" i="1"/>
  <c r="R439" i="1"/>
  <c r="Q12" i="1"/>
  <c r="Q280" i="1"/>
  <c r="Q240" i="1"/>
  <c r="Q126" i="1"/>
  <c r="Q396" i="1"/>
  <c r="Q32" i="1"/>
  <c r="Q88" i="1"/>
  <c r="Q152" i="1"/>
  <c r="Q163" i="1"/>
  <c r="Q361" i="1"/>
  <c r="Q336" i="1"/>
  <c r="Q515" i="1"/>
  <c r="R72" i="1"/>
  <c r="Q400" i="1"/>
  <c r="Q231" i="1"/>
  <c r="R268" i="1"/>
  <c r="Q48" i="1"/>
  <c r="R144" i="1"/>
  <c r="Q264" i="1"/>
  <c r="Q286" i="1"/>
  <c r="Q481" i="1"/>
  <c r="Q136" i="1"/>
  <c r="R110" i="1"/>
  <c r="Q364" i="1"/>
  <c r="R34" i="1"/>
  <c r="R295" i="1"/>
  <c r="Q519" i="1"/>
  <c r="Q344" i="1"/>
  <c r="R378" i="1"/>
  <c r="Q49" i="1"/>
  <c r="Q130" i="1"/>
  <c r="Q121" i="1"/>
  <c r="Q80" i="1"/>
  <c r="R18" i="1"/>
  <c r="R338" i="1"/>
  <c r="Q202" i="1"/>
  <c r="R467" i="1"/>
  <c r="Q478" i="1"/>
  <c r="Q153" i="1"/>
  <c r="Q283" i="1"/>
  <c r="R308" i="1"/>
  <c r="R157" i="1"/>
  <c r="Q81" i="1"/>
  <c r="R409" i="1"/>
  <c r="Q74" i="1"/>
  <c r="Q507" i="1"/>
  <c r="Q528" i="1"/>
  <c r="Q279" i="1"/>
  <c r="Q97" i="1"/>
  <c r="Q435" i="1"/>
  <c r="Q498" i="1"/>
  <c r="R276" i="1"/>
  <c r="Q218" i="1"/>
  <c r="R384" i="1"/>
  <c r="R483" i="1"/>
  <c r="Q433" i="1"/>
  <c r="Q30" i="1"/>
  <c r="R429" i="1"/>
  <c r="R422" i="1"/>
  <c r="Q346" i="1"/>
  <c r="R14" i="1"/>
  <c r="Q510" i="1"/>
  <c r="Q33" i="1"/>
  <c r="R437" i="1"/>
  <c r="R182" i="1"/>
  <c r="Q234" i="1"/>
  <c r="Q282" i="1"/>
  <c r="Q233" i="1"/>
  <c r="Q446" i="1"/>
  <c r="Q403" i="1"/>
  <c r="Q105" i="1"/>
  <c r="R442" i="1"/>
  <c r="Q531" i="1"/>
  <c r="Q26" i="1"/>
  <c r="R58" i="1"/>
  <c r="R472" i="1"/>
  <c r="Q495" i="1"/>
  <c r="Q132" i="1"/>
  <c r="Q258" i="1"/>
  <c r="Q187" i="1"/>
  <c r="Q253" i="1"/>
  <c r="Q329" i="1"/>
  <c r="Q526" i="1"/>
  <c r="Q41" i="1"/>
  <c r="Q161" i="1"/>
  <c r="R370" i="1"/>
  <c r="R6" i="1"/>
  <c r="Q19" i="1"/>
  <c r="R186" i="1"/>
  <c r="Q522" i="1"/>
  <c r="Q181" i="1"/>
  <c r="Q206" i="1"/>
  <c r="Q353" i="1"/>
  <c r="Q5" i="1"/>
  <c r="R347" i="1"/>
  <c r="Q494" i="1"/>
  <c r="R527" i="1"/>
  <c r="Q249" i="1"/>
  <c r="Q455" i="1"/>
  <c r="Q265" i="1"/>
  <c r="Q42" i="1"/>
  <c r="Q443" i="1"/>
  <c r="R266" i="1"/>
  <c r="R355" i="1"/>
  <c r="Q137" i="1"/>
  <c r="Q201" i="1"/>
  <c r="R25" i="1"/>
  <c r="R4" i="1"/>
  <c r="Q489" i="1"/>
  <c r="R520" i="1"/>
  <c r="R410" i="1"/>
  <c r="Q470" i="1"/>
  <c r="R496" i="1"/>
  <c r="Q372" i="1"/>
  <c r="Q53" i="1"/>
  <c r="R193" i="1"/>
  <c r="R397" i="1"/>
  <c r="R386" i="1"/>
  <c r="Q35" i="1"/>
  <c r="R529" i="1"/>
  <c r="R462" i="1"/>
  <c r="R417" i="1"/>
  <c r="Q210" i="1"/>
  <c r="Q73" i="1"/>
  <c r="Q393" i="1"/>
  <c r="Q457" i="1"/>
  <c r="Q106" i="1"/>
  <c r="R434" i="1"/>
  <c r="Q441" i="1"/>
  <c r="Q456" i="1"/>
  <c r="Q170" i="1"/>
  <c r="Q50" i="1"/>
  <c r="R68" i="1"/>
  <c r="R506" i="1"/>
  <c r="Q482" i="1"/>
  <c r="Q475" i="1"/>
  <c r="R499" i="1"/>
  <c r="Q328" i="1"/>
  <c r="Q226" i="1"/>
  <c r="Q337" i="1"/>
  <c r="Q288" i="1"/>
  <c r="Q21" i="1"/>
  <c r="Q209" i="1"/>
  <c r="R371" i="1"/>
  <c r="Q464" i="1"/>
  <c r="Q490" i="1"/>
  <c r="Q112" i="1"/>
  <c r="Q306" i="1"/>
  <c r="R412" i="1"/>
  <c r="Q273" i="1"/>
  <c r="Q473" i="1"/>
  <c r="Q406" i="1"/>
  <c r="Q125" i="1"/>
  <c r="Q377" i="1"/>
  <c r="R440" i="1"/>
  <c r="Q37" i="1"/>
  <c r="R129" i="1"/>
  <c r="R313" i="1"/>
  <c r="R292" i="1"/>
  <c r="R385" i="1"/>
  <c r="R517" i="1"/>
  <c r="Q420" i="1"/>
  <c r="Q185" i="1"/>
  <c r="Q217" i="1"/>
  <c r="R530" i="1"/>
  <c r="Q480" i="1"/>
  <c r="Q512" i="1"/>
  <c r="Q98" i="1"/>
  <c r="Q426" i="1"/>
  <c r="Q459" i="1"/>
  <c r="Q449" i="1"/>
  <c r="Q513" i="1"/>
  <c r="Q502" i="1"/>
  <c r="R448" i="1"/>
  <c r="Q120" i="1"/>
  <c r="Q188" i="1"/>
  <c r="Q77" i="1"/>
  <c r="Q65" i="1"/>
  <c r="Q178" i="1"/>
  <c r="Q241" i="1"/>
  <c r="Q416" i="1"/>
  <c r="Q339" i="1"/>
  <c r="Q488" i="1"/>
  <c r="Q154" i="1"/>
  <c r="Q424" i="1"/>
  <c r="Q251" i="1"/>
  <c r="Q505" i="1"/>
  <c r="Q450" i="1"/>
  <c r="Q191" i="1"/>
  <c r="Q518" i="1"/>
  <c r="R451" i="1"/>
  <c r="R411" i="1"/>
  <c r="Q525" i="1"/>
  <c r="Q379" i="1"/>
  <c r="Q114" i="1"/>
  <c r="R114" i="1"/>
  <c r="Q57" i="1"/>
  <c r="R57" i="1"/>
  <c r="R474" i="1"/>
  <c r="Q474" i="1"/>
  <c r="R82" i="1"/>
  <c r="Q82" i="1"/>
  <c r="R452" i="1"/>
  <c r="Q452" i="1"/>
  <c r="R165" i="1"/>
  <c r="Q165" i="1"/>
  <c r="R468" i="1"/>
  <c r="Q468" i="1"/>
  <c r="R516" i="1"/>
  <c r="Q516" i="1"/>
  <c r="R176" i="1"/>
  <c r="Q176" i="1"/>
  <c r="R521" i="1"/>
  <c r="Q521" i="1"/>
  <c r="R492" i="1"/>
  <c r="Q492" i="1"/>
  <c r="R436" i="1"/>
  <c r="Q436" i="1"/>
  <c r="R460" i="1"/>
  <c r="Q460" i="1"/>
  <c r="R207" i="1"/>
  <c r="Q207" i="1"/>
  <c r="R227" i="1"/>
  <c r="Q227" i="1"/>
  <c r="R223" i="1"/>
  <c r="Q223" i="1"/>
  <c r="R500" i="1"/>
  <c r="Q500" i="1"/>
  <c r="R118" i="1"/>
  <c r="Q118" i="1"/>
  <c r="R508" i="1"/>
  <c r="Q508" i="1"/>
  <c r="Q177" i="1"/>
  <c r="R17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7ADD87-BF75-4E72-AC04-23373963C0DF}" keepAlive="1" interval="120" name="Consulta - pub?output=csv" description="Conexão com a consulta 'pub?output=csv' na pasta de trabalho." type="5" refreshedVersion="8" background="1" saveData="1">
    <dbPr connection="Provider=Microsoft.Mashup.OleDb.1;Data Source=$Workbook$;Location=&quot;pub?output=csv&quot;;Extended Properties=&quot;&quot;" command="SELECT * FROM [pub?output=csv]"/>
  </connection>
</connections>
</file>

<file path=xl/sharedStrings.xml><?xml version="1.0" encoding="utf-8"?>
<sst xmlns="http://schemas.openxmlformats.org/spreadsheetml/2006/main" count="3035" uniqueCount="1617">
  <si>
    <t>Papel</t>
  </si>
  <si>
    <t>Segmento</t>
  </si>
  <si>
    <t>Cotação</t>
  </si>
  <si>
    <t>FFO Yield</t>
  </si>
  <si>
    <t>Dividend Yield</t>
  </si>
  <si>
    <t>P/VP</t>
  </si>
  <si>
    <t>Valor de Mercado</t>
  </si>
  <si>
    <t>Liquidez</t>
  </si>
  <si>
    <t>Qtd de imóveis</t>
  </si>
  <si>
    <t>Preço do m2</t>
  </si>
  <si>
    <t>Aluguel por m2</t>
  </si>
  <si>
    <t>Cap Rate</t>
  </si>
  <si>
    <t>Vacância Média</t>
  </si>
  <si>
    <t>AAZQ11</t>
  </si>
  <si>
    <t>Outros</t>
  </si>
  <si>
    <t>ABCP11</t>
  </si>
  <si>
    <t>Shoppings</t>
  </si>
  <si>
    <t>AEFI11</t>
  </si>
  <si>
    <t>AFCR11</t>
  </si>
  <si>
    <t>Multicategoria</t>
  </si>
  <si>
    <t>AFHF11</t>
  </si>
  <si>
    <t>AFHI11</t>
  </si>
  <si>
    <t>AFOF11</t>
  </si>
  <si>
    <t>Títulos e Val. Mob.</t>
  </si>
  <si>
    <t>AGCX11</t>
  </si>
  <si>
    <t>Varejo</t>
  </si>
  <si>
    <t>AGRX11</t>
  </si>
  <si>
    <t>AIEC11</t>
  </si>
  <si>
    <t>Escritórios</t>
  </si>
  <si>
    <t>AJFI11</t>
  </si>
  <si>
    <t>ALMI11</t>
  </si>
  <si>
    <t>ALZC11</t>
  </si>
  <si>
    <t>ALZM11</t>
  </si>
  <si>
    <t>ALZR11</t>
  </si>
  <si>
    <t>ALZT11</t>
  </si>
  <si>
    <t>ANCR11</t>
  </si>
  <si>
    <t>APTO11</t>
  </si>
  <si>
    <t>Residencial</t>
  </si>
  <si>
    <t>APXM11</t>
  </si>
  <si>
    <t>ARCT11</t>
  </si>
  <si>
    <t>AROA11</t>
  </si>
  <si>
    <t>ARRI11</t>
  </si>
  <si>
    <t>ARXD11</t>
  </si>
  <si>
    <t>ASMT11</t>
  </si>
  <si>
    <t>ASRF11</t>
  </si>
  <si>
    <t>ATSA11</t>
  </si>
  <si>
    <t>AURB11</t>
  </si>
  <si>
    <t>Logística</t>
  </si>
  <si>
    <t>AZPL11</t>
  </si>
  <si>
    <t>BARI11</t>
  </si>
  <si>
    <t>BBFI11</t>
  </si>
  <si>
    <t>BBFO11</t>
  </si>
  <si>
    <t>BBGO11</t>
  </si>
  <si>
    <t>BBIG11</t>
  </si>
  <si>
    <t>BBPO11</t>
  </si>
  <si>
    <t>BBRC11</t>
  </si>
  <si>
    <t>BBVJ11</t>
  </si>
  <si>
    <t>BCFF11</t>
  </si>
  <si>
    <t>BCIA11</t>
  </si>
  <si>
    <t>BCRI11</t>
  </si>
  <si>
    <t>BGRB11</t>
  </si>
  <si>
    <t>BICE11</t>
  </si>
  <si>
    <t>BICR11</t>
  </si>
  <si>
    <t>BIME11</t>
  </si>
  <si>
    <t>BIPD11</t>
  </si>
  <si>
    <t>BLCA11</t>
  </si>
  <si>
    <t>BLCP11</t>
  </si>
  <si>
    <t>BLMC11</t>
  </si>
  <si>
    <t>BLMG11</t>
  </si>
  <si>
    <t>BLMO11</t>
  </si>
  <si>
    <t>BLMR11</t>
  </si>
  <si>
    <t>BLOG11</t>
  </si>
  <si>
    <t>BLUR11</t>
  </si>
  <si>
    <t>BMLC11</t>
  </si>
  <si>
    <t>BNFS11</t>
  </si>
  <si>
    <t>BPFF11</t>
  </si>
  <si>
    <t>BPML11</t>
  </si>
  <si>
    <t>BPRP11</t>
  </si>
  <si>
    <t>BRCO11</t>
  </si>
  <si>
    <t>BRCR11</t>
  </si>
  <si>
    <t>BREV11</t>
  </si>
  <si>
    <t>Híbrido</t>
  </si>
  <si>
    <t>BRIM11</t>
  </si>
  <si>
    <t>BRIP11</t>
  </si>
  <si>
    <t>BRLA11</t>
  </si>
  <si>
    <t>BROF11</t>
  </si>
  <si>
    <t>BTAL11</t>
  </si>
  <si>
    <t>BTCI11</t>
  </si>
  <si>
    <t>BTCR11</t>
  </si>
  <si>
    <t>BTHF11</t>
  </si>
  <si>
    <t>BTHI11</t>
  </si>
  <si>
    <t>Hotel</t>
  </si>
  <si>
    <t>BTLG11</t>
  </si>
  <si>
    <t>BTML11</t>
  </si>
  <si>
    <t>BTRA11</t>
  </si>
  <si>
    <t>BTSG11</t>
  </si>
  <si>
    <t>BTSI11</t>
  </si>
  <si>
    <t>BTWR11</t>
  </si>
  <si>
    <t>BTYU11</t>
  </si>
  <si>
    <t>BVAR11</t>
  </si>
  <si>
    <t>CACR11</t>
  </si>
  <si>
    <t>CARE11</t>
  </si>
  <si>
    <t>CBOP11</t>
  </si>
  <si>
    <t>CCME11</t>
  </si>
  <si>
    <t>CCRF11</t>
  </si>
  <si>
    <t>CCVA11</t>
  </si>
  <si>
    <t>Hospital</t>
  </si>
  <si>
    <t>CEOC11</t>
  </si>
  <si>
    <t>CFHI11</t>
  </si>
  <si>
    <t>CFII11</t>
  </si>
  <si>
    <t>CJCT11</t>
  </si>
  <si>
    <t>CLIN11</t>
  </si>
  <si>
    <t>CNES11</t>
  </si>
  <si>
    <t>COPP11</t>
  </si>
  <si>
    <t>CORM11</t>
  </si>
  <si>
    <t>CPFF11</t>
  </si>
  <si>
    <t>CPLG11</t>
  </si>
  <si>
    <t>CPOF11</t>
  </si>
  <si>
    <t>CPSH11</t>
  </si>
  <si>
    <t>CPTR11</t>
  </si>
  <si>
    <t>CPTS11</t>
  </si>
  <si>
    <t>CPUR11</t>
  </si>
  <si>
    <t>CRAA11</t>
  </si>
  <si>
    <t>CRFF11</t>
  </si>
  <si>
    <t>CTXT11</t>
  </si>
  <si>
    <t>CVBI11</t>
  </si>
  <si>
    <t>CXAG11</t>
  </si>
  <si>
    <t>CXCE11</t>
  </si>
  <si>
    <t>CXCI11</t>
  </si>
  <si>
    <t>CXCO11</t>
  </si>
  <si>
    <t>CXRI11</t>
  </si>
  <si>
    <t>CXTL11</t>
  </si>
  <si>
    <t>DAMA11</t>
  </si>
  <si>
    <t>DAMT11</t>
  </si>
  <si>
    <t>DAYM11</t>
  </si>
  <si>
    <t>DCRA11</t>
  </si>
  <si>
    <t>DEVA11</t>
  </si>
  <si>
    <t>DMAC11</t>
  </si>
  <si>
    <t>DOMC11</t>
  </si>
  <si>
    <t>DOVL11</t>
  </si>
  <si>
    <t>DPRO11</t>
  </si>
  <si>
    <t>DRIT11</t>
  </si>
  <si>
    <t>Lajes Corporativas</t>
  </si>
  <si>
    <t>DVFF11</t>
  </si>
  <si>
    <t>EDFO11</t>
  </si>
  <si>
    <t>EDGA11</t>
  </si>
  <si>
    <t>EGAF11</t>
  </si>
  <si>
    <t>EIRA11</t>
  </si>
  <si>
    <t>ELDO11B</t>
  </si>
  <si>
    <t>EMET11</t>
  </si>
  <si>
    <t>EQIN11</t>
  </si>
  <si>
    <t>EQIR11</t>
  </si>
  <si>
    <t>ERCR11</t>
  </si>
  <si>
    <t>ERPA11</t>
  </si>
  <si>
    <t>EURO11</t>
  </si>
  <si>
    <t>EVBI11</t>
  </si>
  <si>
    <t>EXES11</t>
  </si>
  <si>
    <t>FAED11</t>
  </si>
  <si>
    <t>FAMB11</t>
  </si>
  <si>
    <t>FATN11</t>
  </si>
  <si>
    <t>FCFL11</t>
  </si>
  <si>
    <t>FEXC11</t>
  </si>
  <si>
    <t>FFCI11</t>
  </si>
  <si>
    <t>FGAA11</t>
  </si>
  <si>
    <t>FIGS11</t>
  </si>
  <si>
    <t>FIIB11</t>
  </si>
  <si>
    <t>FIIP11</t>
  </si>
  <si>
    <t>FISC11</t>
  </si>
  <si>
    <t>FISD11</t>
  </si>
  <si>
    <t>FIXX11</t>
  </si>
  <si>
    <t>FLCR11</t>
  </si>
  <si>
    <t>FLFL11</t>
  </si>
  <si>
    <t>FLMA11</t>
  </si>
  <si>
    <t>FLRP11</t>
  </si>
  <si>
    <t>FMOF11</t>
  </si>
  <si>
    <t>FPAB11</t>
  </si>
  <si>
    <t>FPNG11</t>
  </si>
  <si>
    <t>FRBR11</t>
  </si>
  <si>
    <t>FTCA11</t>
  </si>
  <si>
    <t>FTCE11</t>
  </si>
  <si>
    <t>FVBI11</t>
  </si>
  <si>
    <t>FVPQ11</t>
  </si>
  <si>
    <t>FYTO11</t>
  </si>
  <si>
    <t>FZDA11</t>
  </si>
  <si>
    <t>FZDB11</t>
  </si>
  <si>
    <t>GALG11</t>
  </si>
  <si>
    <t>GAME11</t>
  </si>
  <si>
    <t>GARE11</t>
  </si>
  <si>
    <t>GCFF11</t>
  </si>
  <si>
    <t>GCOI11</t>
  </si>
  <si>
    <t>GCRA11</t>
  </si>
  <si>
    <t>GCRI11</t>
  </si>
  <si>
    <t>GESE11B</t>
  </si>
  <si>
    <t>GFDL11</t>
  </si>
  <si>
    <t>GGRC11</t>
  </si>
  <si>
    <t>GLCR11</t>
  </si>
  <si>
    <t>GLOG11</t>
  </si>
  <si>
    <t>GLPF11</t>
  </si>
  <si>
    <t>GRLV11</t>
  </si>
  <si>
    <t>GRUL11</t>
  </si>
  <si>
    <t>GRWA11</t>
  </si>
  <si>
    <t>GSFI11</t>
  </si>
  <si>
    <t>GTLG11</t>
  </si>
  <si>
    <t>GTWR11</t>
  </si>
  <si>
    <t>GURB11</t>
  </si>
  <si>
    <t>GWIR11</t>
  </si>
  <si>
    <t>GZIT11</t>
  </si>
  <si>
    <t>HAAA11</t>
  </si>
  <si>
    <t>HABT11</t>
  </si>
  <si>
    <t>HBCR11</t>
  </si>
  <si>
    <t>HBRH11</t>
  </si>
  <si>
    <t>HBTT11</t>
  </si>
  <si>
    <t>HCHG11</t>
  </si>
  <si>
    <t>HCRI11</t>
  </si>
  <si>
    <t>HCTR11</t>
  </si>
  <si>
    <t>HDEL11</t>
  </si>
  <si>
    <t>HFOF11</t>
  </si>
  <si>
    <t>HGAG11</t>
  </si>
  <si>
    <t>HGBL11</t>
  </si>
  <si>
    <t>HGBS11</t>
  </si>
  <si>
    <t>HGCR11</t>
  </si>
  <si>
    <t>HGFF11</t>
  </si>
  <si>
    <t>HGIC11</t>
  </si>
  <si>
    <t>HGJH11</t>
  </si>
  <si>
    <t>HGLG11</t>
  </si>
  <si>
    <t>HGPO11</t>
  </si>
  <si>
    <t>HGRE11</t>
  </si>
  <si>
    <t>HGRU11</t>
  </si>
  <si>
    <t>HILG11</t>
  </si>
  <si>
    <t>HLOG11</t>
  </si>
  <si>
    <t>HMOC11</t>
  </si>
  <si>
    <t>HOFC11</t>
  </si>
  <si>
    <t>HOSI11</t>
  </si>
  <si>
    <t>HPDP11</t>
  </si>
  <si>
    <t>HRDF11</t>
  </si>
  <si>
    <t>HREC11</t>
  </si>
  <si>
    <t>HRES11</t>
  </si>
  <si>
    <t>HSAF11</t>
  </si>
  <si>
    <t>HSLG11</t>
  </si>
  <si>
    <t>HSML11</t>
  </si>
  <si>
    <t>HSRE11</t>
  </si>
  <si>
    <t>HTMX11</t>
  </si>
  <si>
    <t>HUCG11</t>
  </si>
  <si>
    <t>HUSC11</t>
  </si>
  <si>
    <t>HUSI11</t>
  </si>
  <si>
    <t>HYPI11</t>
  </si>
  <si>
    <t>IAAG11</t>
  </si>
  <si>
    <t>IAGR11</t>
  </si>
  <si>
    <t>IBBP11</t>
  </si>
  <si>
    <t>IBCR11</t>
  </si>
  <si>
    <t>IBFF11</t>
  </si>
  <si>
    <t>ICRI11</t>
  </si>
  <si>
    <t>IDFI11</t>
  </si>
  <si>
    <t>IDGR11</t>
  </si>
  <si>
    <t>IFID11</t>
  </si>
  <si>
    <t>IFIE11</t>
  </si>
  <si>
    <t>INLG11</t>
  </si>
  <si>
    <t>INRD11</t>
  </si>
  <si>
    <t>IRDM11</t>
  </si>
  <si>
    <t>IRIM11</t>
  </si>
  <si>
    <t>ISCJ11</t>
  </si>
  <si>
    <t>ITIP11</t>
  </si>
  <si>
    <t>ITIT11</t>
  </si>
  <si>
    <t>ITRI11</t>
  </si>
  <si>
    <t>JASC11</t>
  </si>
  <si>
    <t>JBFO11</t>
  </si>
  <si>
    <t>JCCJ11</t>
  </si>
  <si>
    <t>JCIN11</t>
  </si>
  <si>
    <t>JFLL11</t>
  </si>
  <si>
    <t>JGPX11</t>
  </si>
  <si>
    <t>JPPA11</t>
  </si>
  <si>
    <t>JPPC11</t>
  </si>
  <si>
    <t>JRDM11</t>
  </si>
  <si>
    <t>JSAF11</t>
  </si>
  <si>
    <t>JSCR11</t>
  </si>
  <si>
    <t>JSRE11</t>
  </si>
  <si>
    <t>KCRE11</t>
  </si>
  <si>
    <t>KDOL11</t>
  </si>
  <si>
    <t>KEVE11</t>
  </si>
  <si>
    <t>KFEN11</t>
  </si>
  <si>
    <t>KFOF11</t>
  </si>
  <si>
    <t>KINP11</t>
  </si>
  <si>
    <t>KISU11</t>
  </si>
  <si>
    <t>KIVO11</t>
  </si>
  <si>
    <t>KNCA11</t>
  </si>
  <si>
    <t>KNCR11</t>
  </si>
  <si>
    <t>KNHF11</t>
  </si>
  <si>
    <t>KNHY11</t>
  </si>
  <si>
    <t>KNIP11</t>
  </si>
  <si>
    <t>KNRE11</t>
  </si>
  <si>
    <t>KNRI11</t>
  </si>
  <si>
    <t>KNSC11</t>
  </si>
  <si>
    <t>KNUQ11</t>
  </si>
  <si>
    <t>KOPA11</t>
  </si>
  <si>
    <t>KORE11</t>
  </si>
  <si>
    <t>LAFI11</t>
  </si>
  <si>
    <t>LASC11</t>
  </si>
  <si>
    <t>LATR11B</t>
  </si>
  <si>
    <t>LFTT11</t>
  </si>
  <si>
    <t>LGCP11</t>
  </si>
  <si>
    <t>LIFE11</t>
  </si>
  <si>
    <t>LLAO11</t>
  </si>
  <si>
    <t>LOFT11B</t>
  </si>
  <si>
    <t>LPLP11</t>
  </si>
  <si>
    <t>LRDI11</t>
  </si>
  <si>
    <t>LSAG11</t>
  </si>
  <si>
    <t>LSOI11</t>
  </si>
  <si>
    <t>LSPA11</t>
  </si>
  <si>
    <t>LTMT11</t>
  </si>
  <si>
    <t>LUGG11</t>
  </si>
  <si>
    <t>LVBI11</t>
  </si>
  <si>
    <t>MALL11</t>
  </si>
  <si>
    <t>MANA11</t>
  </si>
  <si>
    <t>MATV11</t>
  </si>
  <si>
    <t>MAXR11</t>
  </si>
  <si>
    <t>MBRF11</t>
  </si>
  <si>
    <t>MCCI11</t>
  </si>
  <si>
    <t>MCEM11</t>
  </si>
  <si>
    <t>MCHF11</t>
  </si>
  <si>
    <t>MCHY11</t>
  </si>
  <si>
    <t>MCLO11</t>
  </si>
  <si>
    <t>MCRE11</t>
  </si>
  <si>
    <t>MFAI11</t>
  </si>
  <si>
    <t>MFCR11</t>
  </si>
  <si>
    <t>MFII11</t>
  </si>
  <si>
    <t>MGCR11</t>
  </si>
  <si>
    <t>MGFF11</t>
  </si>
  <si>
    <t>MGHT11</t>
  </si>
  <si>
    <t>MGIM11</t>
  </si>
  <si>
    <t>MGLG11</t>
  </si>
  <si>
    <t>MINT11</t>
  </si>
  <si>
    <t>MMPD11</t>
  </si>
  <si>
    <t>MORC11</t>
  </si>
  <si>
    <t>MORE11</t>
  </si>
  <si>
    <t>MXRF11</t>
  </si>
  <si>
    <t>NAUI11</t>
  </si>
  <si>
    <t>NAVT11</t>
  </si>
  <si>
    <t>NCHB11B</t>
  </si>
  <si>
    <t>NCRA11</t>
  </si>
  <si>
    <t>NCRI11</t>
  </si>
  <si>
    <t>NEWL11</t>
  </si>
  <si>
    <t>NEWU11</t>
  </si>
  <si>
    <t>NEXG11</t>
  </si>
  <si>
    <t>NPAR11</t>
  </si>
  <si>
    <t>NSLU11</t>
  </si>
  <si>
    <t>NVHO11</t>
  </si>
  <si>
    <t>OBAL11</t>
  </si>
  <si>
    <t>OCRE11</t>
  </si>
  <si>
    <t>OGHY11</t>
  </si>
  <si>
    <t>OIAG11</t>
  </si>
  <si>
    <t>ONDV11</t>
  </si>
  <si>
    <t>ONEF11</t>
  </si>
  <si>
    <t>ORPD11</t>
  </si>
  <si>
    <t>OUCY11</t>
  </si>
  <si>
    <t>OUFF11</t>
  </si>
  <si>
    <t>OUJP11</t>
  </si>
  <si>
    <t>OULG11</t>
  </si>
  <si>
    <t>OURE11</t>
  </si>
  <si>
    <t>PATA11</t>
  </si>
  <si>
    <t>PATC11</t>
  </si>
  <si>
    <t>PATL11</t>
  </si>
  <si>
    <t>PDBM11</t>
  </si>
  <si>
    <t>PDDA11B</t>
  </si>
  <si>
    <t>PEMA11</t>
  </si>
  <si>
    <t>PLAG11</t>
  </si>
  <si>
    <t>PLCA11</t>
  </si>
  <si>
    <t>PLCR11</t>
  </si>
  <si>
    <t>PLOG11</t>
  </si>
  <si>
    <t>PLRI11</t>
  </si>
  <si>
    <t>PMFO11</t>
  </si>
  <si>
    <t>PMIS11</t>
  </si>
  <si>
    <t>PMLL11</t>
  </si>
  <si>
    <t>PNCR11</t>
  </si>
  <si>
    <t>PNDL11</t>
  </si>
  <si>
    <t>PNPR11</t>
  </si>
  <si>
    <t>PNRC11</t>
  </si>
  <si>
    <t>PORD11</t>
  </si>
  <si>
    <t>PQAG11</t>
  </si>
  <si>
    <t>PQDP11</t>
  </si>
  <si>
    <t>PRSN11</t>
  </si>
  <si>
    <t>PRSV11</t>
  </si>
  <si>
    <t>PULV11</t>
  </si>
  <si>
    <t>PURB11</t>
  </si>
  <si>
    <t>PVBI11</t>
  </si>
  <si>
    <t>QAGR11</t>
  </si>
  <si>
    <t>QAMI11</t>
  </si>
  <si>
    <t>QIFF11</t>
  </si>
  <si>
    <t>QIRI11</t>
  </si>
  <si>
    <t>QMFF11</t>
  </si>
  <si>
    <t>RBBV11</t>
  </si>
  <si>
    <t>RBCO11</t>
  </si>
  <si>
    <t>RBDS11</t>
  </si>
  <si>
    <t>RBED11</t>
  </si>
  <si>
    <t>RBFF11</t>
  </si>
  <si>
    <t>RBGS11</t>
  </si>
  <si>
    <t>RBHG11</t>
  </si>
  <si>
    <t>RBHY11</t>
  </si>
  <si>
    <t>RBIR11</t>
  </si>
  <si>
    <t>RBIV11</t>
  </si>
  <si>
    <t>RBLG11</t>
  </si>
  <si>
    <t>RBOP11</t>
  </si>
  <si>
    <t>RBRD11</t>
  </si>
  <si>
    <t>RBRF11</t>
  </si>
  <si>
    <t>RBRI11</t>
  </si>
  <si>
    <t>RBRL11</t>
  </si>
  <si>
    <t>RBRM11</t>
  </si>
  <si>
    <t>RBRP11</t>
  </si>
  <si>
    <t>RBRR11</t>
  </si>
  <si>
    <t>RBRS11</t>
  </si>
  <si>
    <t>RBRX11</t>
  </si>
  <si>
    <t>RBRY11</t>
  </si>
  <si>
    <t>RBTS11</t>
  </si>
  <si>
    <t>RBVA11</t>
  </si>
  <si>
    <t>RBVO11</t>
  </si>
  <si>
    <t>RCFF11</t>
  </si>
  <si>
    <t>RCRB11</t>
  </si>
  <si>
    <t>RCRI11</t>
  </si>
  <si>
    <t>RDES11</t>
  </si>
  <si>
    <t>RDPD11</t>
  </si>
  <si>
    <t>RECD11</t>
  </si>
  <si>
    <t>RECM11</t>
  </si>
  <si>
    <t>RECR11</t>
  </si>
  <si>
    <t>RECT11</t>
  </si>
  <si>
    <t>RECX11</t>
  </si>
  <si>
    <t>REIT11</t>
  </si>
  <si>
    <t>RELG11</t>
  </si>
  <si>
    <t>RENV11</t>
  </si>
  <si>
    <t>RFOF11</t>
  </si>
  <si>
    <t>RINV11</t>
  </si>
  <si>
    <t>RMAI11</t>
  </si>
  <si>
    <t>RNDP11</t>
  </si>
  <si>
    <t>RNGO11</t>
  </si>
  <si>
    <t>ROOF11</t>
  </si>
  <si>
    <t>RPRI11</t>
  </si>
  <si>
    <t>RRCI11</t>
  </si>
  <si>
    <t>RSPD11</t>
  </si>
  <si>
    <t>RURA11</t>
  </si>
  <si>
    <t>RVBI11</t>
  </si>
  <si>
    <t>RZAG11</t>
  </si>
  <si>
    <t>RZAK11</t>
  </si>
  <si>
    <t>RZAT11</t>
  </si>
  <si>
    <t>RZDM11</t>
  </si>
  <si>
    <t>RZEO11</t>
  </si>
  <si>
    <t>RZLC11</t>
  </si>
  <si>
    <t>RZTR11</t>
  </si>
  <si>
    <t>RZZR11</t>
  </si>
  <si>
    <t>RZZV11</t>
  </si>
  <si>
    <t>SADI11</t>
  </si>
  <si>
    <t>SAIC11</t>
  </si>
  <si>
    <t>SAPI11</t>
  </si>
  <si>
    <t>SARE11</t>
  </si>
  <si>
    <t>SCPF11</t>
  </si>
  <si>
    <t>SDIL11</t>
  </si>
  <si>
    <t>SDIP11</t>
  </si>
  <si>
    <t>SEED11</t>
  </si>
  <si>
    <t>SEQR11</t>
  </si>
  <si>
    <t>SHDP11B</t>
  </si>
  <si>
    <t>SHOP11</t>
  </si>
  <si>
    <t>SHPH11</t>
  </si>
  <si>
    <t>SHPP11</t>
  </si>
  <si>
    <t>SIGR11</t>
  </si>
  <si>
    <t>SJAU11</t>
  </si>
  <si>
    <t>SMRE11</t>
  </si>
  <si>
    <t>SNAG11</t>
  </si>
  <si>
    <t>SNCI11</t>
  </si>
  <si>
    <t>SNCR11</t>
  </si>
  <si>
    <t>SNEL11</t>
  </si>
  <si>
    <t>SNFF11</t>
  </si>
  <si>
    <t>SNFZ11</t>
  </si>
  <si>
    <t>SNLG11</t>
  </si>
  <si>
    <t>SNME11</t>
  </si>
  <si>
    <t>SOFF11</t>
  </si>
  <si>
    <t>SOLR11</t>
  </si>
  <si>
    <t>SPDE11</t>
  </si>
  <si>
    <t>SPMO11</t>
  </si>
  <si>
    <t>SPTW11</t>
  </si>
  <si>
    <t>SPXS11</t>
  </si>
  <si>
    <t>SRVD11</t>
  </si>
  <si>
    <t>STRX11</t>
  </si>
  <si>
    <t>TBOF11</t>
  </si>
  <si>
    <t>TELM11</t>
  </si>
  <si>
    <t>TEPP11</t>
  </si>
  <si>
    <t>TGAR11</t>
  </si>
  <si>
    <t>THRA11</t>
  </si>
  <si>
    <t>TJKB11</t>
  </si>
  <si>
    <t>TMPS11</t>
  </si>
  <si>
    <t>TOPP11</t>
  </si>
  <si>
    <t>TORD11</t>
  </si>
  <si>
    <t>TOUR11</t>
  </si>
  <si>
    <t>TRBL11</t>
  </si>
  <si>
    <t>TRNT11</t>
  </si>
  <si>
    <t>TRXB11</t>
  </si>
  <si>
    <t>TRXF11</t>
  </si>
  <si>
    <t>TRXL11</t>
  </si>
  <si>
    <t>TRXY11</t>
  </si>
  <si>
    <t>TSER11</t>
  </si>
  <si>
    <t>TSNC11</t>
  </si>
  <si>
    <t>TVRI11</t>
  </si>
  <si>
    <t>UBSR11</t>
  </si>
  <si>
    <t>URHF11</t>
  </si>
  <si>
    <t>URPR11</t>
  </si>
  <si>
    <t>VCJR11</t>
  </si>
  <si>
    <t>VCRA11</t>
  </si>
  <si>
    <t>VCRI11</t>
  </si>
  <si>
    <t>VCRR11</t>
  </si>
  <si>
    <t>VERE11</t>
  </si>
  <si>
    <t>VGHF11</t>
  </si>
  <si>
    <t>VGIA11</t>
  </si>
  <si>
    <t>VGII11</t>
  </si>
  <si>
    <t>VGIP11</t>
  </si>
  <si>
    <t>VGIR11</t>
  </si>
  <si>
    <t>VGRI11</t>
  </si>
  <si>
    <t>VHFA11</t>
  </si>
  <si>
    <t>VIFI11</t>
  </si>
  <si>
    <t>VILG11</t>
  </si>
  <si>
    <t>VINO11</t>
  </si>
  <si>
    <t>VISC11</t>
  </si>
  <si>
    <t>VIUR11</t>
  </si>
  <si>
    <t>VJFD11</t>
  </si>
  <si>
    <t>VLOL11</t>
  </si>
  <si>
    <t>VOTS11</t>
  </si>
  <si>
    <t>VPSI11</t>
  </si>
  <si>
    <t>VRTA11</t>
  </si>
  <si>
    <t>VRTM11</t>
  </si>
  <si>
    <t>VSEC11</t>
  </si>
  <si>
    <t>VSHO11</t>
  </si>
  <si>
    <t>VSLH11</t>
  </si>
  <si>
    <t>VTLT11</t>
  </si>
  <si>
    <t>VTPL11</t>
  </si>
  <si>
    <t>VVCR11</t>
  </si>
  <si>
    <t>VVMR11</t>
  </si>
  <si>
    <t>VVPR11</t>
  </si>
  <si>
    <t>VVRI11</t>
  </si>
  <si>
    <t>VXXV11</t>
  </si>
  <si>
    <t>WHGR11</t>
  </si>
  <si>
    <t>WPLZ11</t>
  </si>
  <si>
    <t>WSEC11</t>
  </si>
  <si>
    <t>WTSP11</t>
  </si>
  <si>
    <t>XPCA11</t>
  </si>
  <si>
    <t>XPCI11</t>
  </si>
  <si>
    <t>XPCM11</t>
  </si>
  <si>
    <t>XPHT11</t>
  </si>
  <si>
    <t>XPIN11</t>
  </si>
  <si>
    <t>XPLG11</t>
  </si>
  <si>
    <t>XPML11</t>
  </si>
  <si>
    <t>XPPR11</t>
  </si>
  <si>
    <t>XPSF11</t>
  </si>
  <si>
    <t>XTED11</t>
  </si>
  <si>
    <t>YCHY11</t>
  </si>
  <si>
    <t>YUFI11</t>
  </si>
  <si>
    <t>ZAGH11</t>
  </si>
  <si>
    <t>ZAVC11</t>
  </si>
  <si>
    <t>ZAVI11</t>
  </si>
  <si>
    <t>ZIFI11</t>
  </si>
  <si>
    <t>projecao % dividendo mês</t>
  </si>
  <si>
    <t>projecao $ dividendo mês</t>
  </si>
  <si>
    <t>qtd FII comprar</t>
  </si>
  <si>
    <t>valor montante</t>
  </si>
  <si>
    <t>dividendo pretentido</t>
  </si>
  <si>
    <t>Column1</t>
  </si>
  <si>
    <t>Column2</t>
  </si>
  <si>
    <t> Um "título" negociado na bolsa de valores (uma ação de empresa ou uma cota de um fundo imobiliário).</t>
  </si>
  <si>
    <t xml:space="preserve"> O setor ou área de atuação de uma empresa ou fundo (ex.: shoppings, hospitais, tijolo, papel).</t>
  </si>
  <si>
    <t>O preço de uma unidade do "papel" no mercado no momento.</t>
  </si>
  <si>
    <t>Mede o retorno do investimento com base no lucro operacional real do fundo (FFO). É um indicador mais preciso para fundos imobiliários que o Dividend Yield.</t>
  </si>
  <si>
    <t>O retorno do investimento com base nos dividendos ou distribuições de rendimento já pagos no passado.</t>
  </si>
  <si>
    <t>(Preço sobre Valor Patrimonial): Compara o preço de mercado do papel com seu valor patrimonial líquido. P/VP &lt; 1 pode indicar que está "barato".</t>
  </si>
  <si>
    <t>O valor total da empresa ou fundo, calculado pela cotação multiplicada pelo número total de papéis.</t>
  </si>
  <si>
    <t>Facilidade de comprar ou vender o papel sem afetar muito seu preço. Geralmente medida pelo volume financeiro negociado.</t>
  </si>
  <si>
    <t>Número total de propriedades no portfólio de um fundo imobiliário.</t>
  </si>
  <si>
    <t>O valor de mercado de um metro quadrado de um imóvel ou de um portfólio.</t>
  </si>
  <si>
    <t>O valor do aluguel cobrado por metro quadrado de um imóvel.</t>
  </si>
  <si>
    <t>(Taxa de Capitalização): Mede o retorno potencial de um imóvel, comparando seu rendimento líquido anual com seu valor de mercado. Usado para avaliar a qualidade do negócio.</t>
  </si>
  <si>
    <t xml:space="preserve"> A porcentagem de área total disponível para aluguel que está desocupada em um portfólio.</t>
  </si>
  <si>
    <t>Estimativa do rendimento em porcentagem que o papel deve pagar no próximo mês.</t>
  </si>
  <si>
    <t>Estimativa do valor em reais (R$) que o papel deve pagar por cota no próximo mês.</t>
  </si>
  <si>
    <t>"numero magico" Quantidade de ações que ao comprar os dividendos sejam maior que o valor de uma cotação (ou seja se pagem)</t>
  </si>
  <si>
    <t>Valor pago ao multiplicar a quantidade a cima pela cota de cada ffi</t>
  </si>
  <si>
    <t>Coluna</t>
  </si>
  <si>
    <t>Descrição</t>
  </si>
  <si>
    <t>PCIP11</t>
  </si>
  <si>
    <t>FFO x Dividend</t>
  </si>
  <si>
    <t>o valor que pretendemos receber em dividend o maior ou igual ao preço do papel</t>
  </si>
  <si>
    <t>P/L</t>
  </si>
  <si>
    <t>PSR</t>
  </si>
  <si>
    <t>Div.Yield</t>
  </si>
  <si>
    <t>P/Ativo</t>
  </si>
  <si>
    <t>P/Cap.Giro</t>
  </si>
  <si>
    <t>P/EBIT</t>
  </si>
  <si>
    <t>P/Ativ Circ.Liq</t>
  </si>
  <si>
    <t>EV/EBIT</t>
  </si>
  <si>
    <t>EV/EBITDA</t>
  </si>
  <si>
    <t>Mrg Ebit</t>
  </si>
  <si>
    <t>Mrg. Líq.</t>
  </si>
  <si>
    <t>Liq. Corr.</t>
  </si>
  <si>
    <t>ROIC</t>
  </si>
  <si>
    <t>ROE</t>
  </si>
  <si>
    <t>Liq.2meses</t>
  </si>
  <si>
    <t>Patrim. Líq</t>
  </si>
  <si>
    <t>Dív.Brut/ Patrim.</t>
  </si>
  <si>
    <t>Cresc. Rec.5a</t>
  </si>
  <si>
    <t>IVTT3</t>
  </si>
  <si>
    <t>CFLU4</t>
  </si>
  <si>
    <t>CSTB3</t>
  </si>
  <si>
    <t>POPR4</t>
  </si>
  <si>
    <t>MNSA4</t>
  </si>
  <si>
    <t>PORP4</t>
  </si>
  <si>
    <t>CLAN3</t>
  </si>
  <si>
    <t>PMET3</t>
  </si>
  <si>
    <t>MNSA3</t>
  </si>
  <si>
    <t>CSTB4</t>
  </si>
  <si>
    <t>GNDI3</t>
  </si>
  <si>
    <t>DOHL3</t>
  </si>
  <si>
    <t>DOHL4</t>
  </si>
  <si>
    <t>POSI3</t>
  </si>
  <si>
    <t>ADMF3</t>
  </si>
  <si>
    <t>PLDN4</t>
  </si>
  <si>
    <t>LCSA4</t>
  </si>
  <si>
    <t>BHGR3</t>
  </si>
  <si>
    <t>DMMO3</t>
  </si>
  <si>
    <t>ALPK3</t>
  </si>
  <si>
    <t>RJCP3</t>
  </si>
  <si>
    <t>ABYA3</t>
  </si>
  <si>
    <t>PITI4</t>
  </si>
  <si>
    <t>OPCT3</t>
  </si>
  <si>
    <t>TUPY4</t>
  </si>
  <si>
    <t>ENEV3</t>
  </si>
  <si>
    <t>GOLL4</t>
  </si>
  <si>
    <t>LCSA3</t>
  </si>
  <si>
    <t>MAGG3</t>
  </si>
  <si>
    <t>SQIA3</t>
  </si>
  <si>
    <t>PETZ3</t>
  </si>
  <si>
    <t>LINX3</t>
  </si>
  <si>
    <t>BNCA3</t>
  </si>
  <si>
    <t>CRPG5</t>
  </si>
  <si>
    <t>CRPG6</t>
  </si>
  <si>
    <t>AMIL3</t>
  </si>
  <si>
    <t>EVEN3</t>
  </si>
  <si>
    <t>BRTP3</t>
  </si>
  <si>
    <t>IDVL11</t>
  </si>
  <si>
    <t>CRPG3</t>
  </si>
  <si>
    <t>UCAS3</t>
  </si>
  <si>
    <t>FIEI3</t>
  </si>
  <si>
    <t>SCLO3</t>
  </si>
  <si>
    <t>PEFX5</t>
  </si>
  <si>
    <t>PEFX3</t>
  </si>
  <si>
    <t>MTIG4</t>
  </si>
  <si>
    <t>TOYB4</t>
  </si>
  <si>
    <t>IMBI3</t>
  </si>
  <si>
    <t>CLAN4</t>
  </si>
  <si>
    <t>TOYB3</t>
  </si>
  <si>
    <t>TUPY3</t>
  </si>
  <si>
    <t>EBTP3</t>
  </si>
  <si>
    <t>MOAR3</t>
  </si>
  <si>
    <t>EBTP4</t>
  </si>
  <si>
    <t>FBRA4</t>
  </si>
  <si>
    <t>BRTP4</t>
  </si>
  <si>
    <t>ITEC3</t>
  </si>
  <si>
    <t>DTCY3</t>
  </si>
  <si>
    <t>AURA33</t>
  </si>
  <si>
    <t>HAPV3</t>
  </si>
  <si>
    <t>APER3</t>
  </si>
  <si>
    <t>IMBI4</t>
  </si>
  <si>
    <t>PRTX3</t>
  </si>
  <si>
    <t>BAHI4</t>
  </si>
  <si>
    <t>DFVA3</t>
  </si>
  <si>
    <t>ASTA4</t>
  </si>
  <si>
    <t>MAPT4</t>
  </si>
  <si>
    <t>VGOR4</t>
  </si>
  <si>
    <t>CRBM3</t>
  </si>
  <si>
    <t>MSPA3</t>
  </si>
  <si>
    <t>DFVA4</t>
  </si>
  <si>
    <t>MNDL3</t>
  </si>
  <si>
    <t>CLSA3</t>
  </si>
  <si>
    <t>BAHI5</t>
  </si>
  <si>
    <t>SCAR3</t>
  </si>
  <si>
    <t>MODL3</t>
  </si>
  <si>
    <t>MAPT3</t>
  </si>
  <si>
    <t>TAMM4</t>
  </si>
  <si>
    <t>TAMM3</t>
  </si>
  <si>
    <t>MSPA4</t>
  </si>
  <si>
    <t>MODL11</t>
  </si>
  <si>
    <t>MODL4</t>
  </si>
  <si>
    <t>RPAD5</t>
  </si>
  <si>
    <t>PCAR4</t>
  </si>
  <si>
    <t>CRBM7</t>
  </si>
  <si>
    <t>WMBY3</t>
  </si>
  <si>
    <t>AESB3</t>
  </si>
  <si>
    <t>TDBH4</t>
  </si>
  <si>
    <t>TANC4</t>
  </si>
  <si>
    <t>PCAR5</t>
  </si>
  <si>
    <t>BIOM4</t>
  </si>
  <si>
    <t>CCIM3</t>
  </si>
  <si>
    <t>AURE3</t>
  </si>
  <si>
    <t>BIOM3</t>
  </si>
  <si>
    <t>TDBH3</t>
  </si>
  <si>
    <t>GBIO33</t>
  </si>
  <si>
    <t>RVEE3</t>
  </si>
  <si>
    <t>LECO4</t>
  </si>
  <si>
    <t>HBSA3</t>
  </si>
  <si>
    <t>SEDU3</t>
  </si>
  <si>
    <t>TESA3</t>
  </si>
  <si>
    <t>RPAD3</t>
  </si>
  <si>
    <t>IGUA3</t>
  </si>
  <si>
    <t>FGUI3</t>
  </si>
  <si>
    <t>IGUA6</t>
  </si>
  <si>
    <t>RPAD6</t>
  </si>
  <si>
    <t>IGUA5</t>
  </si>
  <si>
    <t>JALL3</t>
  </si>
  <si>
    <t>PRVI3</t>
  </si>
  <si>
    <t>MTIG3</t>
  </si>
  <si>
    <t>GLOB4</t>
  </si>
  <si>
    <t>CPNY3</t>
  </si>
  <si>
    <t>ATED3</t>
  </si>
  <si>
    <t>SIMH3</t>
  </si>
  <si>
    <t>AALR3</t>
  </si>
  <si>
    <t>AMAR3</t>
  </si>
  <si>
    <t>ECPR4</t>
  </si>
  <si>
    <t>ECPR3</t>
  </si>
  <si>
    <t>CVCB3</t>
  </si>
  <si>
    <t>TERI3</t>
  </si>
  <si>
    <t>ENJU3</t>
  </si>
  <si>
    <t>BEEF3</t>
  </si>
  <si>
    <t>SEMP3</t>
  </si>
  <si>
    <t>SZPQ4</t>
  </si>
  <si>
    <t>MLAS3</t>
  </si>
  <si>
    <t>NGRD3</t>
  </si>
  <si>
    <t>MEDI3</t>
  </si>
  <si>
    <t>ZAMP3</t>
  </si>
  <si>
    <t>TCNO3</t>
  </si>
  <si>
    <t>BLUT3</t>
  </si>
  <si>
    <t>FICT3</t>
  </si>
  <si>
    <t>CSNA3</t>
  </si>
  <si>
    <t>BUET3</t>
  </si>
  <si>
    <t>LJQQ3</t>
  </si>
  <si>
    <t>TLCP3</t>
  </si>
  <si>
    <t>AVLL3</t>
  </si>
  <si>
    <t>LFFE4</t>
  </si>
  <si>
    <t>CGOS3</t>
  </si>
  <si>
    <t>TCNO4</t>
  </si>
  <si>
    <t>WEST3</t>
  </si>
  <si>
    <t>PRML3</t>
  </si>
  <si>
    <t>PDTC3</t>
  </si>
  <si>
    <t>AMOB3</t>
  </si>
  <si>
    <t>ADHM3</t>
  </si>
  <si>
    <t>BUET4</t>
  </si>
  <si>
    <t>TRAD3</t>
  </si>
  <si>
    <t>PMET5</t>
  </si>
  <si>
    <t>LFFE3</t>
  </si>
  <si>
    <t>FBMC3</t>
  </si>
  <si>
    <t>PTBL3</t>
  </si>
  <si>
    <t>TLCP4</t>
  </si>
  <si>
    <t>BECE3</t>
  </si>
  <si>
    <t>ARTR3</t>
  </si>
  <si>
    <t>BECE4</t>
  </si>
  <si>
    <t>AZTE3</t>
  </si>
  <si>
    <t>RCSL3</t>
  </si>
  <si>
    <t>RNEW11</t>
  </si>
  <si>
    <t>USIM6</t>
  </si>
  <si>
    <t>RCSL4</t>
  </si>
  <si>
    <t>PNOR6</t>
  </si>
  <si>
    <t>PNOR5</t>
  </si>
  <si>
    <t>MEAL3</t>
  </si>
  <si>
    <t>STRP4</t>
  </si>
  <si>
    <t>RNEW3</t>
  </si>
  <si>
    <t>SOMA3</t>
  </si>
  <si>
    <t>MRVE3</t>
  </si>
  <si>
    <t>RNEW4</t>
  </si>
  <si>
    <t>CEED4</t>
  </si>
  <si>
    <t>LIXC3</t>
  </si>
  <si>
    <t>TPIS3</t>
  </si>
  <si>
    <t>PTBL4</t>
  </si>
  <si>
    <t>KRSA3</t>
  </si>
  <si>
    <t>BICB4</t>
  </si>
  <si>
    <t>BICB3</t>
  </si>
  <si>
    <t>DMFN3</t>
  </si>
  <si>
    <t>ARLA4</t>
  </si>
  <si>
    <t>LIXC4</t>
  </si>
  <si>
    <t>MMXM3</t>
  </si>
  <si>
    <t>OGXP3</t>
  </si>
  <si>
    <t>AMBP3</t>
  </si>
  <si>
    <t>NTCO3</t>
  </si>
  <si>
    <t>VTLM3</t>
  </si>
  <si>
    <t>USIM5</t>
  </si>
  <si>
    <t>USIM3</t>
  </si>
  <si>
    <t>GFSA3</t>
  </si>
  <si>
    <t>ARCZ3</t>
  </si>
  <si>
    <t>ARCZ6</t>
  </si>
  <si>
    <t>ESTR4</t>
  </si>
  <si>
    <t>SJOS3</t>
  </si>
  <si>
    <t>DASA3</t>
  </si>
  <si>
    <t>VVAR11</t>
  </si>
  <si>
    <t>VVAR4</t>
  </si>
  <si>
    <t>BISA3</t>
  </si>
  <si>
    <t>AZEV3</t>
  </si>
  <si>
    <t>AZEV4</t>
  </si>
  <si>
    <t>BCAL6</t>
  </si>
  <si>
    <t>DJON4</t>
  </si>
  <si>
    <t>LUPA3</t>
  </si>
  <si>
    <t>SPRI6</t>
  </si>
  <si>
    <t>BLUT4</t>
  </si>
  <si>
    <t>ARLA3</t>
  </si>
  <si>
    <t>SPRI3</t>
  </si>
  <si>
    <t>SDIA4</t>
  </si>
  <si>
    <t>SDIA3</t>
  </si>
  <si>
    <t>SCLO4</t>
  </si>
  <si>
    <t>DUQE3</t>
  </si>
  <si>
    <t>ESTR3</t>
  </si>
  <si>
    <t>ONCO3</t>
  </si>
  <si>
    <t>VIVR3</t>
  </si>
  <si>
    <t>RAIZ4</t>
  </si>
  <si>
    <t>SPRI5</t>
  </si>
  <si>
    <t>BHIA3</t>
  </si>
  <si>
    <t>IDVL4</t>
  </si>
  <si>
    <t>CEED3</t>
  </si>
  <si>
    <t>PMET6</t>
  </si>
  <si>
    <t>IFCM3</t>
  </si>
  <si>
    <t>BIED3</t>
  </si>
  <si>
    <t>LGLO4</t>
  </si>
  <si>
    <t>BRKM3</t>
  </si>
  <si>
    <t>PCAR3</t>
  </si>
  <si>
    <t>IDVL3</t>
  </si>
  <si>
    <t>CSAN3</t>
  </si>
  <si>
    <t>BRKM5</t>
  </si>
  <si>
    <t>BRKM6</t>
  </si>
  <si>
    <t>OIBR4</t>
  </si>
  <si>
    <t>DHBI3</t>
  </si>
  <si>
    <t>LETO5</t>
  </si>
  <si>
    <t>BDLL3</t>
  </si>
  <si>
    <t>IENG3</t>
  </si>
  <si>
    <t>TOKY3</t>
  </si>
  <si>
    <t>SHOW3</t>
  </si>
  <si>
    <t>BAHI11</t>
  </si>
  <si>
    <t>TXRX3</t>
  </si>
  <si>
    <t>LATM11</t>
  </si>
  <si>
    <t>CELM3</t>
  </si>
  <si>
    <t>IENG5</t>
  </si>
  <si>
    <t>RDNI3</t>
  </si>
  <si>
    <t>AGXY3</t>
  </si>
  <si>
    <t>TCSA3</t>
  </si>
  <si>
    <t>BRPR3</t>
  </si>
  <si>
    <t>BDLL4</t>
  </si>
  <si>
    <t>FRTA3</t>
  </si>
  <si>
    <t>REEM4</t>
  </si>
  <si>
    <t>CCXC3</t>
  </si>
  <si>
    <t>MNDL4</t>
  </si>
  <si>
    <t>CTNM3</t>
  </si>
  <si>
    <t>DOCA3</t>
  </si>
  <si>
    <t>FHER3</t>
  </si>
  <si>
    <t>FGUI4</t>
  </si>
  <si>
    <t>PLAS3</t>
  </si>
  <si>
    <t>WISA4</t>
  </si>
  <si>
    <t>LETO3</t>
  </si>
  <si>
    <t>PMAM4</t>
  </si>
  <si>
    <t>VVEO3</t>
  </si>
  <si>
    <t>WISA3</t>
  </si>
  <si>
    <t>INEP3</t>
  </si>
  <si>
    <t>INEP4</t>
  </si>
  <si>
    <t>CTAX3</t>
  </si>
  <si>
    <t>CTSA8</t>
  </si>
  <si>
    <t>AERI3</t>
  </si>
  <si>
    <t>DOCA4</t>
  </si>
  <si>
    <t>DUQE4</t>
  </si>
  <si>
    <t>FTRX3</t>
  </si>
  <si>
    <t>CTSA3</t>
  </si>
  <si>
    <t>SJOS4</t>
  </si>
  <si>
    <t>SNSY5</t>
  </si>
  <si>
    <t>FTRX4</t>
  </si>
  <si>
    <t>TEKA3</t>
  </si>
  <si>
    <t>CTSA4</t>
  </si>
  <si>
    <t>TXRX4</t>
  </si>
  <si>
    <t>FBMC4</t>
  </si>
  <si>
    <t>RPMG3</t>
  </si>
  <si>
    <t>JFEN3</t>
  </si>
  <si>
    <t>VPTA4</t>
  </si>
  <si>
    <t>TEKA4</t>
  </si>
  <si>
    <t>PMAM3</t>
  </si>
  <si>
    <t>OIBR3</t>
  </si>
  <si>
    <t>CTNM4</t>
  </si>
  <si>
    <t>TENE7</t>
  </si>
  <si>
    <t>VPSC4</t>
  </si>
  <si>
    <t>VAGV3</t>
  </si>
  <si>
    <t>DHBI4</t>
  </si>
  <si>
    <t>SEQL3</t>
  </si>
  <si>
    <t>VAGV4</t>
  </si>
  <si>
    <t>GAFP3</t>
  </si>
  <si>
    <t>ARTE3</t>
  </si>
  <si>
    <t>TROR3</t>
  </si>
  <si>
    <t>VPSC3</t>
  </si>
  <si>
    <t>VPTA3</t>
  </si>
  <si>
    <t>ARTE4</t>
  </si>
  <si>
    <t>TROR4</t>
  </si>
  <si>
    <t>GSHP3</t>
  </si>
  <si>
    <t>SGPS3</t>
  </si>
  <si>
    <t>GAFP4</t>
  </si>
  <si>
    <t>MILK33</t>
  </si>
  <si>
    <t>PDGR3</t>
  </si>
  <si>
    <t>SCAR4</t>
  </si>
  <si>
    <t>RPMG4</t>
  </si>
  <si>
    <t>OSXB3</t>
  </si>
  <si>
    <t>CGOS4</t>
  </si>
  <si>
    <t>TENE5</t>
  </si>
  <si>
    <t>CBMA3</t>
  </si>
  <si>
    <t>CBMA4</t>
  </si>
  <si>
    <t>OSAO4</t>
  </si>
  <si>
    <t>GALO3</t>
  </si>
  <si>
    <t>SFSA3</t>
  </si>
  <si>
    <t>ILLS4</t>
  </si>
  <si>
    <t>BBTG11</t>
  </si>
  <si>
    <t>BBTG13</t>
  </si>
  <si>
    <t>REPA4</t>
  </si>
  <si>
    <t>SLCP3</t>
  </si>
  <si>
    <t>ARPS4</t>
  </si>
  <si>
    <t>CLSC6</t>
  </si>
  <si>
    <t>ARPS3</t>
  </si>
  <si>
    <t>JFAB4</t>
  </si>
  <si>
    <t>JBDU3</t>
  </si>
  <si>
    <t>IGTA3</t>
  </si>
  <si>
    <t>INHA3</t>
  </si>
  <si>
    <t>ECIS3</t>
  </si>
  <si>
    <t>ECIS4</t>
  </si>
  <si>
    <t>ESTC4</t>
  </si>
  <si>
    <t>SASG3</t>
  </si>
  <si>
    <t>TNEP4</t>
  </si>
  <si>
    <t>GPIV33</t>
  </si>
  <si>
    <t>SEBB3</t>
  </si>
  <si>
    <t>SEBB4</t>
  </si>
  <si>
    <t>SGEN3</t>
  </si>
  <si>
    <t>SALM3</t>
  </si>
  <si>
    <t>SGEN4</t>
  </si>
  <si>
    <t>EQMA5B</t>
  </si>
  <si>
    <t>ICPI3</t>
  </si>
  <si>
    <t>CCTY3</t>
  </si>
  <si>
    <t>CCHI4</t>
  </si>
  <si>
    <t>CCHI3</t>
  </si>
  <si>
    <t>SALM4</t>
  </si>
  <si>
    <t>EQMA6B</t>
  </si>
  <si>
    <t>GALO4</t>
  </si>
  <si>
    <t>TNEP3</t>
  </si>
  <si>
    <t>REPA3</t>
  </si>
  <si>
    <t>VSPT4</t>
  </si>
  <si>
    <t>BSGR3</t>
  </si>
  <si>
    <t>LECO3</t>
  </si>
  <si>
    <t>BMEF3</t>
  </si>
  <si>
    <t>VVAX4</t>
  </si>
  <si>
    <t>CSPC3</t>
  </si>
  <si>
    <t>DAYC3</t>
  </si>
  <si>
    <t>VGOR3</t>
  </si>
  <si>
    <t>CZRS3</t>
  </si>
  <si>
    <t>OBTC3</t>
  </si>
  <si>
    <t>ODER3</t>
  </si>
  <si>
    <t>VVAX3</t>
  </si>
  <si>
    <t>ALBA3</t>
  </si>
  <si>
    <t>VNET3</t>
  </si>
  <si>
    <t>OMGE3</t>
  </si>
  <si>
    <t>BOVH3</t>
  </si>
  <si>
    <t>MLPA3</t>
  </si>
  <si>
    <t>BPNM3</t>
  </si>
  <si>
    <t>CMMA4</t>
  </si>
  <si>
    <t>ABCB3</t>
  </si>
  <si>
    <t>BERG3</t>
  </si>
  <si>
    <t>MSAN3</t>
  </si>
  <si>
    <t>DUFB11</t>
  </si>
  <si>
    <t>VSPT3</t>
  </si>
  <si>
    <t>PTIP4</t>
  </si>
  <si>
    <t>MSAN4</t>
  </si>
  <si>
    <t>PTIP3</t>
  </si>
  <si>
    <t>LATS3</t>
  </si>
  <si>
    <t>BPAT33</t>
  </si>
  <si>
    <t>CSPC4</t>
  </si>
  <si>
    <t>AGEI3</t>
  </si>
  <si>
    <t>PRBC3</t>
  </si>
  <si>
    <t>ENER5</t>
  </si>
  <si>
    <t>ENER3</t>
  </si>
  <si>
    <t>ENER6</t>
  </si>
  <si>
    <t>TEFC11</t>
  </si>
  <si>
    <t>CAFE4</t>
  </si>
  <si>
    <t>CESP4</t>
  </si>
  <si>
    <t>MLPA12</t>
  </si>
  <si>
    <t>MLPA4</t>
  </si>
  <si>
    <t>CAFE3</t>
  </si>
  <si>
    <t>BSCT3</t>
  </si>
  <si>
    <t>CORR3</t>
  </si>
  <si>
    <t>SULT4</t>
  </si>
  <si>
    <t>SULT3</t>
  </si>
  <si>
    <t>BPHA3</t>
  </si>
  <si>
    <t>AZUL4</t>
  </si>
  <si>
    <t>IGBR5</t>
  </si>
  <si>
    <t>IGBR6</t>
  </si>
  <si>
    <t>BRSR4</t>
  </si>
  <si>
    <t>PALF11</t>
  </si>
  <si>
    <t>LREN4</t>
  </si>
  <si>
    <t>NEXP3</t>
  </si>
  <si>
    <t>RCTB42</t>
  </si>
  <si>
    <t>CREM4</t>
  </si>
  <si>
    <t>AMER3</t>
  </si>
  <si>
    <t>RSID3</t>
  </si>
  <si>
    <t>TPRC6</t>
  </si>
  <si>
    <t>PALF5</t>
  </si>
  <si>
    <t>TPRC3</t>
  </si>
  <si>
    <t>PALF3</t>
  </si>
  <si>
    <t>RCTB41</t>
  </si>
  <si>
    <t>MEND5</t>
  </si>
  <si>
    <t>RCTB31</t>
  </si>
  <si>
    <t>SLED4</t>
  </si>
  <si>
    <t>CORR4</t>
  </si>
  <si>
    <t>ASSM4</t>
  </si>
  <si>
    <t>MEND6</t>
  </si>
  <si>
    <t>RCTB33</t>
  </si>
  <si>
    <t>GAZO4</t>
  </si>
  <si>
    <t>ASSM3</t>
  </si>
  <si>
    <t>BELG4</t>
  </si>
  <si>
    <t>BELG3</t>
  </si>
  <si>
    <t>AGEN33</t>
  </si>
  <si>
    <t>TRPN3</t>
  </si>
  <si>
    <t>SLED3</t>
  </si>
  <si>
    <t>GAZO3</t>
  </si>
  <si>
    <t>FCAP3</t>
  </si>
  <si>
    <t>IGBR3</t>
  </si>
  <si>
    <t>FCAP4</t>
  </si>
  <si>
    <t>MNPR4</t>
  </si>
  <si>
    <t>MNPR3</t>
  </si>
  <si>
    <t>NORD3</t>
  </si>
  <si>
    <t>TARP11</t>
  </si>
  <si>
    <t>HOOT4</t>
  </si>
  <si>
    <t>LIGT3</t>
  </si>
  <si>
    <t>BNBR4</t>
  </si>
  <si>
    <t>EBEN4</t>
  </si>
  <si>
    <t>SUZA4</t>
  </si>
  <si>
    <t>TSPP4</t>
  </si>
  <si>
    <t>CEDO4</t>
  </si>
  <si>
    <t>MTBR3</t>
  </si>
  <si>
    <t>MTBR4</t>
  </si>
  <si>
    <t>TSPP3</t>
  </si>
  <si>
    <t>CPFG4</t>
  </si>
  <si>
    <t>CPFG3</t>
  </si>
  <si>
    <t>ESCE3</t>
  </si>
  <si>
    <t>CTKA4</t>
  </si>
  <si>
    <t>CTKA3</t>
  </si>
  <si>
    <t>PLIM4</t>
  </si>
  <si>
    <t>CYRE4</t>
  </si>
  <si>
    <t>HETA4</t>
  </si>
  <si>
    <t>CEDO3</t>
  </si>
  <si>
    <t>FIGE3</t>
  </si>
  <si>
    <t>AHEB3</t>
  </si>
  <si>
    <t>MMAQ3</t>
  </si>
  <si>
    <t>MMAQ4</t>
  </si>
  <si>
    <t>APTI4</t>
  </si>
  <si>
    <t>CLSC5</t>
  </si>
  <si>
    <t>CTPC4</t>
  </si>
  <si>
    <t>BMKS3</t>
  </si>
  <si>
    <t>MWET4</t>
  </si>
  <si>
    <t>EALT4</t>
  </si>
  <si>
    <t>TBLE6</t>
  </si>
  <si>
    <t>SUZB6</t>
  </si>
  <si>
    <t>MARI3</t>
  </si>
  <si>
    <t>PRIO3</t>
  </si>
  <si>
    <t>ELPL4</t>
  </si>
  <si>
    <t>STBP11</t>
  </si>
  <si>
    <t>LIGH3</t>
  </si>
  <si>
    <t>EALT3</t>
  </si>
  <si>
    <t>TBLE5</t>
  </si>
  <si>
    <t>RANI4</t>
  </si>
  <si>
    <t>SUZB5</t>
  </si>
  <si>
    <t>CSRN3</t>
  </si>
  <si>
    <t>BOBR3</t>
  </si>
  <si>
    <t>LUXM4</t>
  </si>
  <si>
    <t>BNBR3</t>
  </si>
  <si>
    <t>PTPA3</t>
  </si>
  <si>
    <t>BAZA3</t>
  </si>
  <si>
    <t>VTRU3</t>
  </si>
  <si>
    <t>CAMB4</t>
  </si>
  <si>
    <t>CSRN5</t>
  </si>
  <si>
    <t>JHSF3</t>
  </si>
  <si>
    <t>PTPA4</t>
  </si>
  <si>
    <t>CSRN6</t>
  </si>
  <si>
    <t>VINE3</t>
  </si>
  <si>
    <t>DAYC4</t>
  </si>
  <si>
    <t>VINE5</t>
  </si>
  <si>
    <t>SOND5</t>
  </si>
  <si>
    <t>BRAV3</t>
  </si>
  <si>
    <t>REDE4</t>
  </si>
  <si>
    <t>BBAS3</t>
  </si>
  <si>
    <t>SAPR4</t>
  </si>
  <si>
    <t>SOND3</t>
  </si>
  <si>
    <t>AHEB6</t>
  </si>
  <si>
    <t>SAPR11</t>
  </si>
  <si>
    <t>CPFP4</t>
  </si>
  <si>
    <t>MWET3</t>
  </si>
  <si>
    <t>BOBR4</t>
  </si>
  <si>
    <t>VBBR3</t>
  </si>
  <si>
    <t>SAPR3</t>
  </si>
  <si>
    <t>VCPA4</t>
  </si>
  <si>
    <t>AHEB5</t>
  </si>
  <si>
    <t>FRAS4</t>
  </si>
  <si>
    <t>CMIG4</t>
  </si>
  <si>
    <t>CEPE5</t>
  </si>
  <si>
    <t>BRSR6</t>
  </si>
  <si>
    <t>CBEE3</t>
  </si>
  <si>
    <t>BGIP4</t>
  </si>
  <si>
    <t>PETR4</t>
  </si>
  <si>
    <t>BMGB4</t>
  </si>
  <si>
    <t>RANI3</t>
  </si>
  <si>
    <t>CEEB3</t>
  </si>
  <si>
    <t>BMEB3</t>
  </si>
  <si>
    <t>VALE5</t>
  </si>
  <si>
    <t>MRSA5B</t>
  </si>
  <si>
    <t>MRSA6B</t>
  </si>
  <si>
    <t>BRSR3</t>
  </si>
  <si>
    <t>LOGG3</t>
  </si>
  <si>
    <t>DEXP4</t>
  </si>
  <si>
    <t>CGRA3</t>
  </si>
  <si>
    <t>PETR3</t>
  </si>
  <si>
    <t>DEXP3</t>
  </si>
  <si>
    <t>CEPE6</t>
  </si>
  <si>
    <t>CGRA4</t>
  </si>
  <si>
    <t>SOND6</t>
  </si>
  <si>
    <t>CALI3</t>
  </si>
  <si>
    <t>ETER3</t>
  </si>
  <si>
    <t>RECV3</t>
  </si>
  <si>
    <t>BGIP3</t>
  </si>
  <si>
    <t>ISAE4</t>
  </si>
  <si>
    <t>MGEL4</t>
  </si>
  <si>
    <t>BPIA3</t>
  </si>
  <si>
    <t>DSUL3</t>
  </si>
  <si>
    <t>ABCB4</t>
  </si>
  <si>
    <t>EQMA3B</t>
  </si>
  <si>
    <t>RNPT4</t>
  </si>
  <si>
    <t>CAMB3</t>
  </si>
  <si>
    <t>TASA4</t>
  </si>
  <si>
    <t>RNPT3</t>
  </si>
  <si>
    <t>ELPL6</t>
  </si>
  <si>
    <t>GRND3</t>
  </si>
  <si>
    <t>ELPL5</t>
  </si>
  <si>
    <t>BPAR3</t>
  </si>
  <si>
    <t>EUCA4</t>
  </si>
  <si>
    <t>BSLI4</t>
  </si>
  <si>
    <t>CEEB5</t>
  </si>
  <si>
    <t>BRAP3</t>
  </si>
  <si>
    <t>COGN3</t>
  </si>
  <si>
    <t>MYPK3</t>
  </si>
  <si>
    <t>TIET11</t>
  </si>
  <si>
    <t>TIET3</t>
  </si>
  <si>
    <t>CLSC3</t>
  </si>
  <si>
    <t>TIET4</t>
  </si>
  <si>
    <t>WLMM4</t>
  </si>
  <si>
    <t>VULC4</t>
  </si>
  <si>
    <t>CMIG3</t>
  </si>
  <si>
    <t>ENBR3</t>
  </si>
  <si>
    <t>SHUL4</t>
  </si>
  <si>
    <t>ENGI4</t>
  </si>
  <si>
    <t>PTNT4</t>
  </si>
  <si>
    <t>VLID3</t>
  </si>
  <si>
    <t>TECN3</t>
  </si>
  <si>
    <t>IRBR3</t>
  </si>
  <si>
    <t>BSLI3</t>
  </si>
  <si>
    <t>SYNE3</t>
  </si>
  <si>
    <t>TASA3</t>
  </si>
  <si>
    <t>WLMM3</t>
  </si>
  <si>
    <t>MRSA3B</t>
  </si>
  <si>
    <t>BALM4</t>
  </si>
  <si>
    <t>BEES4</t>
  </si>
  <si>
    <t>BEES3</t>
  </si>
  <si>
    <t>PINE3</t>
  </si>
  <si>
    <t>BRAP4</t>
  </si>
  <si>
    <t>CIQU4</t>
  </si>
  <si>
    <t>CIQU3</t>
  </si>
  <si>
    <t>MTRE3</t>
  </si>
  <si>
    <t>BRSR5</t>
  </si>
  <si>
    <t>BMEB4</t>
  </si>
  <si>
    <t>CLSC4</t>
  </si>
  <si>
    <t>FIGE4</t>
  </si>
  <si>
    <t>CYRE3</t>
  </si>
  <si>
    <t>MELK3</t>
  </si>
  <si>
    <t>RSUL4</t>
  </si>
  <si>
    <t>LPSB3</t>
  </si>
  <si>
    <t>LAVV3</t>
  </si>
  <si>
    <t>EUCA3</t>
  </si>
  <si>
    <t>ENGI11</t>
  </si>
  <si>
    <t>EQPA3</t>
  </si>
  <si>
    <t>TRIS3</t>
  </si>
  <si>
    <t>MDNE3</t>
  </si>
  <si>
    <t>WHRL3</t>
  </si>
  <si>
    <t>JBSS3</t>
  </si>
  <si>
    <t>PINE4</t>
  </si>
  <si>
    <t>POMO3</t>
  </si>
  <si>
    <t>NUTR3</t>
  </si>
  <si>
    <t>TAEE3</t>
  </si>
  <si>
    <t>ESTC11</t>
  </si>
  <si>
    <t>SANB3</t>
  </si>
  <si>
    <t>BALM3</t>
  </si>
  <si>
    <t>TAEE11</t>
  </si>
  <si>
    <t>TEND3</t>
  </si>
  <si>
    <t>BBSE3</t>
  </si>
  <si>
    <t>ECOR3</t>
  </si>
  <si>
    <t>TAEE4</t>
  </si>
  <si>
    <t>AZZA3</t>
  </si>
  <si>
    <t>WIZC3</t>
  </si>
  <si>
    <t>ISAE3</t>
  </si>
  <si>
    <t>EEEL4</t>
  </si>
  <si>
    <t>BBDC3</t>
  </si>
  <si>
    <t>LEVE3</t>
  </si>
  <si>
    <t>SANB11</t>
  </si>
  <si>
    <t>EEEL3</t>
  </si>
  <si>
    <t>GETT3</t>
  </si>
  <si>
    <t>GETT4</t>
  </si>
  <si>
    <t>VULC3</t>
  </si>
  <si>
    <t>EQPA5</t>
  </si>
  <si>
    <t>WHRL4</t>
  </si>
  <si>
    <t>DPPI4</t>
  </si>
  <si>
    <t>CCTU4</t>
  </si>
  <si>
    <t>SBFG3</t>
  </si>
  <si>
    <t>SANB4</t>
  </si>
  <si>
    <t>NEOE3</t>
  </si>
  <si>
    <t>SUZB3</t>
  </si>
  <si>
    <t>UGPA3</t>
  </si>
  <si>
    <t>BRFS3</t>
  </si>
  <si>
    <t>TTEN3</t>
  </si>
  <si>
    <t>ROMI3</t>
  </si>
  <si>
    <t>SBSP3</t>
  </si>
  <si>
    <t>WSON33</t>
  </si>
  <si>
    <t>CEBR5</t>
  </si>
  <si>
    <t>CMET4</t>
  </si>
  <si>
    <t>EZTC3</t>
  </si>
  <si>
    <t>RDTR3</t>
  </si>
  <si>
    <t>CSUD3</t>
  </si>
  <si>
    <t>INTB3</t>
  </si>
  <si>
    <t>ITSA3</t>
  </si>
  <si>
    <t>ITSA4</t>
  </si>
  <si>
    <t>BLAU3</t>
  </si>
  <si>
    <t>CEBR3</t>
  </si>
  <si>
    <t>PLPL3</t>
  </si>
  <si>
    <t>POMO4</t>
  </si>
  <si>
    <t>CESP5</t>
  </si>
  <si>
    <t>EQPA7</t>
  </si>
  <si>
    <t>PFRM3</t>
  </si>
  <si>
    <t>CESP6</t>
  </si>
  <si>
    <t>AGIN3</t>
  </si>
  <si>
    <t>CESP3</t>
  </si>
  <si>
    <t>AELP3</t>
  </si>
  <si>
    <t>TGMA3</t>
  </si>
  <si>
    <t>EKTR3</t>
  </si>
  <si>
    <t>EKTR4</t>
  </si>
  <si>
    <t>COCE5</t>
  </si>
  <si>
    <t>CPSL3</t>
  </si>
  <si>
    <t>UNIP3</t>
  </si>
  <si>
    <t>EQPA6</t>
  </si>
  <si>
    <t>ALLD3</t>
  </si>
  <si>
    <t>KROT4</t>
  </si>
  <si>
    <t>MBRF3</t>
  </si>
  <si>
    <t>BBDC4</t>
  </si>
  <si>
    <t>TMGC12</t>
  </si>
  <si>
    <t>ACES4</t>
  </si>
  <si>
    <t>MTSA4</t>
  </si>
  <si>
    <t>ACES3</t>
  </si>
  <si>
    <t>CPFE3</t>
  </si>
  <si>
    <t>CZRS4</t>
  </si>
  <si>
    <t>HBTS5</t>
  </si>
  <si>
    <t>AFLU5</t>
  </si>
  <si>
    <t>CEBR6</t>
  </si>
  <si>
    <t>OFSA3</t>
  </si>
  <si>
    <t>VIVO3</t>
  </si>
  <si>
    <t>CNFB4</t>
  </si>
  <si>
    <t>BPAC5</t>
  </si>
  <si>
    <t>ITUB3</t>
  </si>
  <si>
    <t>AFLU3</t>
  </si>
  <si>
    <t>FESA4</t>
  </si>
  <si>
    <t>SMTO3</t>
  </si>
  <si>
    <t>CPRE3</t>
  </si>
  <si>
    <t>ANIM3</t>
  </si>
  <si>
    <t>COCE3</t>
  </si>
  <si>
    <t>ELPL3</t>
  </si>
  <si>
    <t>BMIN4</t>
  </si>
  <si>
    <t>MRSL4</t>
  </si>
  <si>
    <t>REDE3</t>
  </si>
  <si>
    <t>ALLL11</t>
  </si>
  <si>
    <t>ALLL4</t>
  </si>
  <si>
    <t>KROT11</t>
  </si>
  <si>
    <t>GOAU3</t>
  </si>
  <si>
    <t>ENGI3</t>
  </si>
  <si>
    <t>CTWR3</t>
  </si>
  <si>
    <t>FIQE3</t>
  </si>
  <si>
    <t>GOAU4</t>
  </si>
  <si>
    <t>PATI3</t>
  </si>
  <si>
    <t>VIVO4</t>
  </si>
  <si>
    <t>GGBR3</t>
  </si>
  <si>
    <t>KEPL3</t>
  </si>
  <si>
    <t>CPLE11</t>
  </si>
  <si>
    <t>MOVI3</t>
  </si>
  <si>
    <t>CRFB3</t>
  </si>
  <si>
    <t>ALUP4</t>
  </si>
  <si>
    <t>VALE3</t>
  </si>
  <si>
    <t>PSSA3</t>
  </si>
  <si>
    <t>EPAR4</t>
  </si>
  <si>
    <t>TCSL4</t>
  </si>
  <si>
    <t>UNIP5</t>
  </si>
  <si>
    <t>MILS3</t>
  </si>
  <si>
    <t>GMAT3</t>
  </si>
  <si>
    <t>UNIP6</t>
  </si>
  <si>
    <t>CSED3</t>
  </si>
  <si>
    <t>PTNT3</t>
  </si>
  <si>
    <t>CGAS3</t>
  </si>
  <si>
    <t>ENAT3</t>
  </si>
  <si>
    <t>CEAB3</t>
  </si>
  <si>
    <t>ITUB4</t>
  </si>
  <si>
    <t>MRSL3</t>
  </si>
  <si>
    <t>RAPT3</t>
  </si>
  <si>
    <t>COCE6</t>
  </si>
  <si>
    <t>TRFO3</t>
  </si>
  <si>
    <t>CXSE3</t>
  </si>
  <si>
    <t>UGPA4</t>
  </si>
  <si>
    <t>BESP3</t>
  </si>
  <si>
    <t>RAPT4</t>
  </si>
  <si>
    <t>ALUP11</t>
  </si>
  <si>
    <t>VITT3</t>
  </si>
  <si>
    <t>WEGE4</t>
  </si>
  <si>
    <t>TCOC4</t>
  </si>
  <si>
    <t>CGAS5</t>
  </si>
  <si>
    <t>CSMG3</t>
  </si>
  <si>
    <t>IGTI3</t>
  </si>
  <si>
    <t>KLBN4</t>
  </si>
  <si>
    <t>VIVA3</t>
  </si>
  <si>
    <t>KLBN11</t>
  </si>
  <si>
    <t>BMGB11</t>
  </si>
  <si>
    <t>KLBN3</t>
  </si>
  <si>
    <t>TRFO4</t>
  </si>
  <si>
    <t>CASH3</t>
  </si>
  <si>
    <t>SMLS3</t>
  </si>
  <si>
    <t>BESP4</t>
  </si>
  <si>
    <t>EGIE3</t>
  </si>
  <si>
    <t>MATD3</t>
  </si>
  <si>
    <t>MOTV3</t>
  </si>
  <si>
    <t>HBOR3</t>
  </si>
  <si>
    <t>MULT3</t>
  </si>
  <si>
    <t>GRNL4</t>
  </si>
  <si>
    <t>ELUM3</t>
  </si>
  <si>
    <t>PATI4</t>
  </si>
  <si>
    <t>LUXM3</t>
  </si>
  <si>
    <t>ALUP3</t>
  </si>
  <si>
    <t>LEVE4</t>
  </si>
  <si>
    <t>RIPI3</t>
  </si>
  <si>
    <t>CZLT33</t>
  </si>
  <si>
    <t>BRBI11</t>
  </si>
  <si>
    <t>AESL4</t>
  </si>
  <si>
    <t>AESL3</t>
  </si>
  <si>
    <t>LREN3</t>
  </si>
  <si>
    <t>RIPI4</t>
  </si>
  <si>
    <t>ALLL3</t>
  </si>
  <si>
    <t>EBCO4</t>
  </si>
  <si>
    <t>TEMP3</t>
  </si>
  <si>
    <t>REAG3</t>
  </si>
  <si>
    <t>CAML3</t>
  </si>
  <si>
    <t>ENMT4</t>
  </si>
  <si>
    <t>NAFG3</t>
  </si>
  <si>
    <t>NAFG4</t>
  </si>
  <si>
    <t>PORT3</t>
  </si>
  <si>
    <t>BRIT3</t>
  </si>
  <si>
    <t>GGBR4</t>
  </si>
  <si>
    <t>SLCE3</t>
  </si>
  <si>
    <t>YDUQ3</t>
  </si>
  <si>
    <t>PNVL3</t>
  </si>
  <si>
    <t>FIBR3</t>
  </si>
  <si>
    <t>EBCO3</t>
  </si>
  <si>
    <t>GUAR3</t>
  </si>
  <si>
    <t>MPLU3</t>
  </si>
  <si>
    <t>ODPV3</t>
  </si>
  <si>
    <t>ENMT3</t>
  </si>
  <si>
    <t>BMIN3</t>
  </si>
  <si>
    <t>AMPI3</t>
  </si>
  <si>
    <t>DIRR3</t>
  </si>
  <si>
    <t>ASAI3</t>
  </si>
  <si>
    <t>CPLE5</t>
  </si>
  <si>
    <t>TKNO4</t>
  </si>
  <si>
    <t>BRML3</t>
  </si>
  <si>
    <t>EQTL3</t>
  </si>
  <si>
    <t>TMGC7</t>
  </si>
  <si>
    <t>CPLE3</t>
  </si>
  <si>
    <t>CURY3</t>
  </si>
  <si>
    <t>JSLG3</t>
  </si>
  <si>
    <t>ABEV3</t>
  </si>
  <si>
    <t>EPAR3</t>
  </si>
  <si>
    <t>CIEL3</t>
  </si>
  <si>
    <t>AVIL3</t>
  </si>
  <si>
    <t>IGTI11</t>
  </si>
  <si>
    <t>DXTG4</t>
  </si>
  <si>
    <t>ETER4</t>
  </si>
  <si>
    <t>FLRY3</t>
  </si>
  <si>
    <t>SFSA4</t>
  </si>
  <si>
    <t>GETI3</t>
  </si>
  <si>
    <t>GETI4</t>
  </si>
  <si>
    <t>AFLT3</t>
  </si>
  <si>
    <t>RGEG3</t>
  </si>
  <si>
    <t>VAMO3</t>
  </si>
  <si>
    <t>CPLE6</t>
  </si>
  <si>
    <t>SOJA3</t>
  </si>
  <si>
    <t>B3SA3</t>
  </si>
  <si>
    <t>ARCE3</t>
  </si>
  <si>
    <t>SEER3</t>
  </si>
  <si>
    <t>BPAC11</t>
  </si>
  <si>
    <t>FESA3</t>
  </si>
  <si>
    <t>TMGC11</t>
  </si>
  <si>
    <t>TNCP4</t>
  </si>
  <si>
    <t>TNCP3</t>
  </si>
  <si>
    <t>DMVF3</t>
  </si>
  <si>
    <t>AGRO3</t>
  </si>
  <si>
    <t>KSSA3</t>
  </si>
  <si>
    <t>ELUM4</t>
  </si>
  <si>
    <t>CMIN3</t>
  </si>
  <si>
    <t>TCOC3</t>
  </si>
  <si>
    <t>RDCD3</t>
  </si>
  <si>
    <t>BMOB3</t>
  </si>
  <si>
    <t>BOAS3</t>
  </si>
  <si>
    <t>STBP3</t>
  </si>
  <si>
    <t>TMGC13</t>
  </si>
  <si>
    <t>MERC4</t>
  </si>
  <si>
    <t>BEMA3</t>
  </si>
  <si>
    <t>PGMN3</t>
  </si>
  <si>
    <t>ILMD3</t>
  </si>
  <si>
    <t>HAGA4</t>
  </si>
  <si>
    <t>CEPE3</t>
  </si>
  <si>
    <t>CRTP5</t>
  </si>
  <si>
    <t>BAUH4</t>
  </si>
  <si>
    <t>ARML3</t>
  </si>
  <si>
    <t>ILMD4</t>
  </si>
  <si>
    <t>MGLU3</t>
  </si>
  <si>
    <t>DURA4</t>
  </si>
  <si>
    <t>DURA3</t>
  </si>
  <si>
    <t>LIPR3</t>
  </si>
  <si>
    <t>DPPI3</t>
  </si>
  <si>
    <t>MDIA3</t>
  </si>
  <si>
    <t>ALOS3</t>
  </si>
  <si>
    <t>CALI4</t>
  </si>
  <si>
    <t>PEAB3</t>
  </si>
  <si>
    <t>TIMP3</t>
  </si>
  <si>
    <t>BMTO4</t>
  </si>
  <si>
    <t>BPAN4</t>
  </si>
  <si>
    <t>BFIT4</t>
  </si>
  <si>
    <t>MYPK4</t>
  </si>
  <si>
    <t>PEAB4</t>
  </si>
  <si>
    <t>NATU3</t>
  </si>
  <si>
    <t>BMTO3</t>
  </si>
  <si>
    <t>UCOP4</t>
  </si>
  <si>
    <t>CBAV3</t>
  </si>
  <si>
    <t>BFIT3</t>
  </si>
  <si>
    <t>RENT3</t>
  </si>
  <si>
    <t>TMCP3</t>
  </si>
  <si>
    <t>MERC3</t>
  </si>
  <si>
    <t>HYPE3</t>
  </si>
  <si>
    <t>SMLE3</t>
  </si>
  <si>
    <t>VIVT3</t>
  </si>
  <si>
    <t>ELET3</t>
  </si>
  <si>
    <t>FRAS3</t>
  </si>
  <si>
    <t>TMCP4</t>
  </si>
  <si>
    <t>GGPS3</t>
  </si>
  <si>
    <t>AUTM3</t>
  </si>
  <si>
    <t>GEPA3</t>
  </si>
  <si>
    <t>AEDU11</t>
  </si>
  <si>
    <t>JPSA3</t>
  </si>
  <si>
    <t>ELET6</t>
  </si>
  <si>
    <t>GEPA4</t>
  </si>
  <si>
    <t>TFCO4</t>
  </si>
  <si>
    <t>LAME4</t>
  </si>
  <si>
    <t>LAME3</t>
  </si>
  <si>
    <t>HBRE3</t>
  </si>
  <si>
    <t>DXCO3</t>
  </si>
  <si>
    <t>EMAE4</t>
  </si>
  <si>
    <t>CRTP3</t>
  </si>
  <si>
    <t>BSCT6</t>
  </si>
  <si>
    <t>RSIP3</t>
  </si>
  <si>
    <t>RSIP4</t>
  </si>
  <si>
    <t>DESK3</t>
  </si>
  <si>
    <t>MGEL3</t>
  </si>
  <si>
    <t>TVIT3</t>
  </si>
  <si>
    <t>TMGC3</t>
  </si>
  <si>
    <t>RDOR3</t>
  </si>
  <si>
    <t>PNVL4</t>
  </si>
  <si>
    <t>POWE3</t>
  </si>
  <si>
    <t>TSEP4</t>
  </si>
  <si>
    <t>BPAC3</t>
  </si>
  <si>
    <t>ELEK3</t>
  </si>
  <si>
    <t>MAGS3</t>
  </si>
  <si>
    <t>VIVT4</t>
  </si>
  <si>
    <t>ODER4</t>
  </si>
  <si>
    <t>CRUZ3</t>
  </si>
  <si>
    <t>TNLP4</t>
  </si>
  <si>
    <t>HGTX4</t>
  </si>
  <si>
    <t>AMBV4</t>
  </si>
  <si>
    <t>AMBV3</t>
  </si>
  <si>
    <t>BRST3</t>
  </si>
  <si>
    <t>WEGE3</t>
  </si>
  <si>
    <t>RPSA4</t>
  </si>
  <si>
    <t>ALPA3</t>
  </si>
  <si>
    <t>HAGA3</t>
  </si>
  <si>
    <t>ELET5</t>
  </si>
  <si>
    <t>RADL3</t>
  </si>
  <si>
    <t>ALPA4</t>
  </si>
  <si>
    <t>SEBB11</t>
  </si>
  <si>
    <t>SMFT3</t>
  </si>
  <si>
    <t>WDCN3</t>
  </si>
  <si>
    <t>JOPA3</t>
  </si>
  <si>
    <t>TOTS3</t>
  </si>
  <si>
    <t>ELCA4</t>
  </si>
  <si>
    <t>EMBR3</t>
  </si>
  <si>
    <t>BSCT5</t>
  </si>
  <si>
    <t>GPAR3</t>
  </si>
  <si>
    <t>MOSI3</t>
  </si>
  <si>
    <t>BRGE6</t>
  </si>
  <si>
    <t>CREM3</t>
  </si>
  <si>
    <t>BRGE7</t>
  </si>
  <si>
    <t>TSEP3</t>
  </si>
  <si>
    <t>BRGE8</t>
  </si>
  <si>
    <t>BRGE11</t>
  </si>
  <si>
    <t>BRGE5</t>
  </si>
  <si>
    <t>ELEK4</t>
  </si>
  <si>
    <t>PRGA4</t>
  </si>
  <si>
    <t>BRGE12</t>
  </si>
  <si>
    <t>BRGE3</t>
  </si>
  <si>
    <t>CASN3</t>
  </si>
  <si>
    <t>CTIP3</t>
  </si>
  <si>
    <t>TNLP3</t>
  </si>
  <si>
    <t>JOPA4</t>
  </si>
  <si>
    <t>VIGR3</t>
  </si>
  <si>
    <t>PARD3</t>
  </si>
  <si>
    <t>ELCA3</t>
  </si>
  <si>
    <t>CRIV4</t>
  </si>
  <si>
    <t>LOGN3</t>
  </si>
  <si>
    <t>ALSC3</t>
  </si>
  <si>
    <t>CRIV3</t>
  </si>
  <si>
    <t>ELMD3</t>
  </si>
  <si>
    <t>RHDS3</t>
  </si>
  <si>
    <t>RAIA3</t>
  </si>
  <si>
    <t>ESPA3</t>
  </si>
  <si>
    <t>LCAM3</t>
  </si>
  <si>
    <t>IMCH3</t>
  </si>
  <si>
    <t>TELB4</t>
  </si>
  <si>
    <t>HETA3</t>
  </si>
  <si>
    <t>LAND3</t>
  </si>
  <si>
    <t>PTQS4</t>
  </si>
  <si>
    <t>UOLL4</t>
  </si>
  <si>
    <t>RAIL3</t>
  </si>
  <si>
    <t>CEGR3</t>
  </si>
  <si>
    <t>FLCL6</t>
  </si>
  <si>
    <t>TIMS3</t>
  </si>
  <si>
    <t>PLTO6</t>
  </si>
  <si>
    <t>SULA11</t>
  </si>
  <si>
    <t>SULA3</t>
  </si>
  <si>
    <t>PLTO5</t>
  </si>
  <si>
    <t>FFTL3</t>
  </si>
  <si>
    <t>FFTL4</t>
  </si>
  <si>
    <t>SULA4</t>
  </si>
  <si>
    <t>FLCL3</t>
  </si>
  <si>
    <t>BSEV3</t>
  </si>
  <si>
    <t>GVTT3</t>
  </si>
  <si>
    <t>CSAB3</t>
  </si>
  <si>
    <t>AEDU3</t>
  </si>
  <si>
    <t>FLCL5</t>
  </si>
  <si>
    <t>TELB3</t>
  </si>
  <si>
    <t>SUBA3</t>
  </si>
  <si>
    <t>BRIV4</t>
  </si>
  <si>
    <t>DAGB33</t>
  </si>
  <si>
    <t>BRIV3</t>
  </si>
  <si>
    <t>LWSA3</t>
  </si>
  <si>
    <t>CTPC3</t>
  </si>
  <si>
    <t>PRNR3</t>
  </si>
  <si>
    <t>RLOG3</t>
  </si>
  <si>
    <t>MLFT4</t>
  </si>
  <si>
    <t>QUAL3</t>
  </si>
  <si>
    <t>CSAB4</t>
  </si>
  <si>
    <t>HGTX3</t>
  </si>
  <si>
    <t>PQUN4</t>
  </si>
  <si>
    <t>PQUN3</t>
  </si>
  <si>
    <t>SRNA3</t>
  </si>
  <si>
    <t>TMAR6</t>
  </si>
  <si>
    <t>TMAR5</t>
  </si>
  <si>
    <t>ORVR3</t>
  </si>
  <si>
    <t>NETC3</t>
  </si>
  <si>
    <t>NETC4</t>
  </si>
  <si>
    <t>FRIO3</t>
  </si>
  <si>
    <t>PRBC4</t>
  </si>
  <si>
    <t>DOTZ3</t>
  </si>
  <si>
    <t>TMAR3</t>
  </si>
  <si>
    <t>ROMI4</t>
  </si>
  <si>
    <t>GUAR4</t>
  </si>
  <si>
    <t>BIDI3</t>
  </si>
  <si>
    <t>BIDI4</t>
  </si>
  <si>
    <t>BIDI11</t>
  </si>
  <si>
    <t>ELEV3</t>
  </si>
  <si>
    <t>RHDS4</t>
  </si>
  <si>
    <t>UBBR4</t>
  </si>
  <si>
    <t>VSTE3</t>
  </si>
  <si>
    <t>UBBR11</t>
  </si>
  <si>
    <t>UBBR3</t>
  </si>
  <si>
    <t>BBTG12</t>
  </si>
  <si>
    <t>Indicador</t>
  </si>
  <si>
    <t>Código de negociação da ação na Bolsa de Valores</t>
  </si>
  <si>
    <t>Preço atual de mercado de uma ação</t>
  </si>
  <si>
    <t>Preço sobre Lucro - relação entre preço da ação e lucro por ação</t>
  </si>
  <si>
    <t>Preço sobre Valor Patrimonial - relação entre preço e valor contábil</t>
  </si>
  <si>
    <t>Preço sobre Receita - relação entre valor de mercado e receita bruta</t>
  </si>
  <si>
    <t>Dividend Yield - percentual de dividendos pagos em relação ao preço da ação</t>
  </si>
  <si>
    <t>Preço sobre Ativo - relação entre valor de mercado e total de ativos</t>
  </si>
  <si>
    <t>Preço sobre Capital de Giro - relação com capital de giro líquido</t>
  </si>
  <si>
    <t>Preço sobre EBIT - relação entre valor de mercado e lucro operacional</t>
  </si>
  <si>
    <t>Preço sobre Ativo Circulante Líquido</t>
  </si>
  <si>
    <t>Enterprise Value sobre EBIT - valuation considerando dívida líquida</t>
  </si>
  <si>
    <t>Enterprise Value sobre EBITDA - valuation considerando dívida e EBITDA</t>
  </si>
  <si>
    <t>Margem EBIT - percentual da receita que vira lucro operacional</t>
  </si>
  <si>
    <t>Margem Líquida - percentual da receita que vira lucro final</t>
  </si>
  <si>
    <t>Liquidez Corrente - capacidade de pagar dívidas de curto prazo</t>
  </si>
  <si>
    <t>Return on Invested Capital - retorno sobre capital investido</t>
  </si>
  <si>
    <t>Return on Equity - retorno sobre patrimônio líquido</t>
  </si>
  <si>
    <t>Liquidez em 2 meses - volume médio de negociações</t>
  </si>
  <si>
    <t>Patrimônio Líquido - valor contábil da empresa</t>
  </si>
  <si>
    <t>Dív.Brut/Patrim.</t>
  </si>
  <si>
    <t>Dívida Bruta sobre Patrimônio - grau de alavancagem</t>
  </si>
  <si>
    <t>Crescimento da Receita em 5 anos - taxa de crescimento anual da receita</t>
  </si>
  <si>
    <t>qtd acoes comprar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</si>
</sst>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1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2" applyNumberFormat="1" applyFont="1"/>
    <xf numFmtId="44" fontId="0" fillId="0" borderId="0" xfId="1" applyFont="1"/>
    <xf numFmtId="44" fontId="0" fillId="0" borderId="0" xfId="0" applyNumberFormat="1"/>
    <xf numFmtId="10" fontId="2" fillId="2" borderId="0" xfId="2" applyNumberFormat="1" applyFont="1" applyFill="1"/>
    <xf numFmtId="44" fontId="2" fillId="2" borderId="0" xfId="1" applyFont="1" applyFill="1"/>
    <xf numFmtId="0" fontId="2" fillId="2" borderId="0" xfId="0" applyFont="1" applyFill="1"/>
    <xf numFmtId="0" fontId="3" fillId="0" borderId="1" xfId="0" applyFont="1" applyBorder="1"/>
    <xf numFmtId="0" fontId="3" fillId="0" borderId="2" xfId="0" applyFont="1" applyBorder="1"/>
    <xf numFmtId="0" fontId="3" fillId="0" borderId="4" xfId="0" applyFont="1" applyBorder="1"/>
    <xf numFmtId="0" fontId="4" fillId="0" borderId="4" xfId="0" applyFont="1" applyBorder="1"/>
    <xf numFmtId="0" fontId="3" fillId="0" borderId="3" xfId="0" applyFont="1" applyBorder="1"/>
    <xf numFmtId="0" fontId="4" fillId="0" borderId="3" xfId="0" applyFont="1" applyBorder="1"/>
    <xf numFmtId="44" fontId="3" fillId="0" borderId="3" xfId="1" applyFont="1" applyBorder="1"/>
    <xf numFmtId="10" fontId="5" fillId="2" borderId="3" xfId="2" applyNumberFormat="1" applyFont="1" applyFill="1" applyBorder="1"/>
    <xf numFmtId="44" fontId="5" fillId="2" borderId="3" xfId="1" applyFont="1" applyFill="1" applyBorder="1"/>
    <xf numFmtId="0" fontId="5" fillId="2" borderId="3" xfId="0" applyFont="1" applyFill="1" applyBorder="1"/>
    <xf numFmtId="9" fontId="2" fillId="2" borderId="0" xfId="2" applyFont="1" applyFill="1"/>
    <xf numFmtId="9" fontId="0" fillId="0" borderId="0" xfId="2" applyFont="1"/>
  </cellXfs>
  <cellStyles count="3">
    <cellStyle name="Moeda" xfId="1" builtinId="4"/>
    <cellStyle name="Normal" xfId="0" builtinId="0"/>
    <cellStyle name="Porcentagem" xfId="2" builtinId="5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AF0D7801-624D-4AF6-937D-D70E7D831809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A28E4F-FA0F-460F-AACF-008A4001AD05}" name="pub_output_csv" displayName="pub_output_csv" ref="A1:B1526" tableType="queryTable" totalsRowShown="0">
  <autoFilter ref="A1:B1526" xr:uid="{BEA28E4F-FA0F-460F-AACF-008A4001AD05}"/>
  <tableColumns count="2">
    <tableColumn id="3" xr3:uid="{05765BE8-1278-426E-940F-966B4EA4C09B}" uniqueName="3" name="Column1" queryTableFieldId="1" dataDxfId="0"/>
    <tableColumn id="2" xr3:uid="{6A59EDAA-B9A1-4967-B10F-EC9EAAD784E9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8634-3C44-4E55-82FB-5EBA1C26B064}">
  <dimension ref="A1:S531"/>
  <sheetViews>
    <sheetView workbookViewId="0">
      <pane ySplit="1" topLeftCell="A2" activePane="bottomLeft" state="frozen"/>
      <selection pane="bottomLeft" activeCell="E11" sqref="E11"/>
    </sheetView>
  </sheetViews>
  <sheetFormatPr defaultRowHeight="14.4" x14ac:dyDescent="0.3"/>
  <cols>
    <col min="2" max="2" width="16.33203125" bestFit="1" customWidth="1"/>
    <col min="3" max="3" width="12.88671875" style="5" bestFit="1" customWidth="1"/>
    <col min="4" max="4" width="10.6640625" bestFit="1" customWidth="1"/>
    <col min="5" max="5" width="14.5546875" bestFit="1" customWidth="1"/>
    <col min="6" max="6" width="7.109375" bestFit="1" customWidth="1"/>
    <col min="7" max="7" width="17.88671875" bestFit="1" customWidth="1"/>
    <col min="8" max="8" width="10.109375" bestFit="1" customWidth="1"/>
    <col min="9" max="9" width="15.44140625" bestFit="1" customWidth="1"/>
    <col min="10" max="10" width="13.44140625" bestFit="1" customWidth="1"/>
    <col min="11" max="11" width="15.44140625" bestFit="1" customWidth="1"/>
    <col min="12" max="12" width="10.5546875" bestFit="1" customWidth="1"/>
    <col min="13" max="13" width="16.21875" bestFit="1" customWidth="1"/>
    <col min="14" max="14" width="25.6640625" style="4" bestFit="1" customWidth="1"/>
    <col min="15" max="15" width="26.5546875" style="5" bestFit="1" customWidth="1"/>
    <col min="16" max="16" width="16.21875" bestFit="1" customWidth="1"/>
    <col min="17" max="17" width="16.33203125" bestFit="1" customWidth="1"/>
    <col min="18" max="18" width="21.21875" bestFit="1" customWidth="1"/>
    <col min="19" max="19" width="19.1093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554</v>
      </c>
      <c r="O1" s="8" t="s">
        <v>555</v>
      </c>
      <c r="P1" s="9" t="s">
        <v>556</v>
      </c>
      <c r="Q1" s="9" t="s">
        <v>557</v>
      </c>
      <c r="R1" s="9" t="s">
        <v>558</v>
      </c>
      <c r="S1" s="9" t="s">
        <v>581</v>
      </c>
    </row>
    <row r="2" spans="1:19" x14ac:dyDescent="0.3">
      <c r="A2" t="s">
        <v>231</v>
      </c>
      <c r="B2" t="s">
        <v>28</v>
      </c>
      <c r="C2" s="5">
        <f>VLOOKUP(A2,Dim!A:B,2,0)</f>
        <v>28.31</v>
      </c>
      <c r="D2" s="1">
        <v>-0.01</v>
      </c>
      <c r="E2" s="1">
        <v>0</v>
      </c>
      <c r="F2">
        <v>0.5</v>
      </c>
      <c r="G2" s="2">
        <v>108457000</v>
      </c>
      <c r="H2" s="2">
        <v>727667</v>
      </c>
      <c r="I2">
        <v>3</v>
      </c>
      <c r="J2" s="3">
        <v>1267.8900000000001</v>
      </c>
      <c r="K2">
        <v>413.66</v>
      </c>
      <c r="L2" s="1">
        <v>0.32629999999999998</v>
      </c>
      <c r="M2" s="1">
        <v>0.49220000000000003</v>
      </c>
      <c r="N2" s="4">
        <f t="shared" ref="N2:N65" si="0">E2/12</f>
        <v>0</v>
      </c>
      <c r="O2" s="5">
        <f t="shared" ref="O2:O65" si="1">N2*C2</f>
        <v>0</v>
      </c>
      <c r="P2" t="e">
        <f t="shared" ref="P2:P65" si="2">ROUNDUP((C2/O2),0)+1</f>
        <v>#DIV/0!</v>
      </c>
      <c r="Q2" s="6" t="e">
        <f t="shared" ref="Q2:Q65" si="3">P2*C2</f>
        <v>#DIV/0!</v>
      </c>
      <c r="R2" s="6" t="e">
        <f t="shared" ref="R2:R65" si="4">P2*O2</f>
        <v>#DIV/0!</v>
      </c>
      <c r="S2" t="str">
        <f>IF(D2&gt;E2,"Bom",IF(D2=E2,"netro","Alerta"))</f>
        <v>Alerta</v>
      </c>
    </row>
    <row r="3" spans="1:19" x14ac:dyDescent="0.3">
      <c r="A3" t="s">
        <v>15</v>
      </c>
      <c r="B3" t="s">
        <v>16</v>
      </c>
      <c r="C3" s="5">
        <f>VLOOKUP(A3,Dim!A:B,2,0)</f>
        <v>74.92</v>
      </c>
      <c r="D3" s="1">
        <v>0.1037</v>
      </c>
      <c r="E3" s="1">
        <v>9.6500000000000002E-2</v>
      </c>
      <c r="F3">
        <v>0.71</v>
      </c>
      <c r="G3" s="2">
        <v>360245000</v>
      </c>
      <c r="H3" s="2">
        <v>78993</v>
      </c>
      <c r="I3">
        <v>1</v>
      </c>
      <c r="J3" s="3">
        <v>5054.13</v>
      </c>
      <c r="K3">
        <v>655.94</v>
      </c>
      <c r="L3" s="1">
        <v>0.1298</v>
      </c>
      <c r="M3" s="1">
        <v>2.6800000000000001E-2</v>
      </c>
      <c r="N3" s="4">
        <f t="shared" si="0"/>
        <v>8.0416666666666674E-3</v>
      </c>
      <c r="O3" s="5">
        <f t="shared" si="1"/>
        <v>0.60248166666666669</v>
      </c>
      <c r="P3">
        <f t="shared" si="2"/>
        <v>126</v>
      </c>
      <c r="Q3" s="6">
        <f t="shared" si="3"/>
        <v>9439.92</v>
      </c>
      <c r="R3" s="6">
        <f t="shared" si="4"/>
        <v>75.912689999999998</v>
      </c>
      <c r="S3" t="str">
        <f t="shared" ref="S3:S4" si="5">IF(D3&gt;E3,"Bom",IF(D3=E3,"netro","Alerta"))</f>
        <v>Bom</v>
      </c>
    </row>
    <row r="4" spans="1:19" x14ac:dyDescent="0.3">
      <c r="A4" t="s">
        <v>102</v>
      </c>
      <c r="B4" t="s">
        <v>28</v>
      </c>
      <c r="C4" s="5">
        <f>VLOOKUP(A4,Dim!A:B,2,0)</f>
        <v>33.5</v>
      </c>
      <c r="D4" s="1">
        <v>3.4200000000000001E-2</v>
      </c>
      <c r="E4" s="1">
        <v>4.2099999999999999E-2</v>
      </c>
      <c r="F4">
        <v>0.38</v>
      </c>
      <c r="G4" s="2">
        <v>36775800</v>
      </c>
      <c r="H4" s="2">
        <v>6779</v>
      </c>
      <c r="I4">
        <v>1</v>
      </c>
      <c r="J4" s="3">
        <v>2242.35</v>
      </c>
      <c r="K4">
        <v>310.39</v>
      </c>
      <c r="L4" s="1">
        <v>0.1384</v>
      </c>
      <c r="M4" s="1">
        <v>0.41599999999999998</v>
      </c>
      <c r="N4" s="4">
        <f t="shared" si="0"/>
        <v>3.5083333333333334E-3</v>
      </c>
      <c r="O4" s="5">
        <f t="shared" si="1"/>
        <v>0.11752916666666667</v>
      </c>
      <c r="P4">
        <f t="shared" si="2"/>
        <v>287</v>
      </c>
      <c r="Q4" s="6">
        <f t="shared" si="3"/>
        <v>9614.5</v>
      </c>
      <c r="R4" s="6">
        <f t="shared" si="4"/>
        <v>33.730870833333334</v>
      </c>
      <c r="S4" t="str">
        <f t="shared" si="5"/>
        <v>Alerta</v>
      </c>
    </row>
    <row r="5" spans="1:19" x14ac:dyDescent="0.3">
      <c r="A5" t="s">
        <v>136</v>
      </c>
      <c r="B5" t="s">
        <v>19</v>
      </c>
      <c r="C5" s="5">
        <f>VLOOKUP(A5,Dim!A:B,2,0)</f>
        <v>25.05</v>
      </c>
      <c r="D5" s="1">
        <v>0.20119999999999999</v>
      </c>
      <c r="E5" s="1">
        <v>0.19259999999999999</v>
      </c>
      <c r="F5">
        <v>0.26</v>
      </c>
      <c r="G5" s="2">
        <v>355617000</v>
      </c>
      <c r="H5" s="2">
        <v>688046</v>
      </c>
      <c r="I5">
        <v>0</v>
      </c>
      <c r="J5">
        <v>0</v>
      </c>
      <c r="K5">
        <v>0</v>
      </c>
      <c r="L5" s="1">
        <v>0</v>
      </c>
      <c r="M5" s="1">
        <v>0</v>
      </c>
      <c r="N5" s="4">
        <f t="shared" si="0"/>
        <v>1.6049999999999998E-2</v>
      </c>
      <c r="O5" s="5">
        <f t="shared" si="1"/>
        <v>0.40205249999999998</v>
      </c>
      <c r="P5">
        <f t="shared" si="2"/>
        <v>64</v>
      </c>
      <c r="Q5" s="6">
        <f t="shared" si="3"/>
        <v>1603.2</v>
      </c>
      <c r="R5" s="6">
        <f t="shared" si="4"/>
        <v>25.731359999999999</v>
      </c>
      <c r="S5" t="str">
        <f t="shared" ref="S5:S68" si="6">IF(D5&gt;E5,"Bom",IF(D5=E5,"netro","Alerta"))</f>
        <v>Bom</v>
      </c>
    </row>
    <row r="6" spans="1:19" x14ac:dyDescent="0.3">
      <c r="A6" t="s">
        <v>521</v>
      </c>
      <c r="B6" t="s">
        <v>16</v>
      </c>
      <c r="C6" s="5">
        <f>VLOOKUP(A6,Dim!A:B,2,0)</f>
        <v>22.59</v>
      </c>
      <c r="D6" s="1">
        <v>0.1229</v>
      </c>
      <c r="E6" s="1">
        <v>0.1163</v>
      </c>
      <c r="F6">
        <v>0.73</v>
      </c>
      <c r="G6" s="2">
        <v>182183000</v>
      </c>
      <c r="H6">
        <v>1</v>
      </c>
      <c r="I6">
        <v>16</v>
      </c>
      <c r="J6" s="3">
        <v>1481.25</v>
      </c>
      <c r="K6">
        <v>185.68</v>
      </c>
      <c r="L6" s="1">
        <v>0.12540000000000001</v>
      </c>
      <c r="M6" s="1">
        <v>0</v>
      </c>
      <c r="N6" s="4">
        <f t="shared" si="0"/>
        <v>9.6916666666666661E-3</v>
      </c>
      <c r="O6" s="5">
        <f t="shared" si="1"/>
        <v>0.21893474999999998</v>
      </c>
      <c r="P6">
        <f t="shared" si="2"/>
        <v>105</v>
      </c>
      <c r="Q6" s="6">
        <f t="shared" si="3"/>
        <v>2371.9499999999998</v>
      </c>
      <c r="R6" s="6">
        <f t="shared" si="4"/>
        <v>22.988148749999997</v>
      </c>
      <c r="S6" t="str">
        <f t="shared" si="6"/>
        <v>Bom</v>
      </c>
    </row>
    <row r="7" spans="1:19" x14ac:dyDescent="0.3">
      <c r="A7" t="s">
        <v>21</v>
      </c>
      <c r="B7" t="s">
        <v>14</v>
      </c>
      <c r="C7" s="5">
        <f>VLOOKUP(A7,Dim!A:B,2,0)</f>
        <v>94.82</v>
      </c>
      <c r="D7" s="1">
        <v>0.12330000000000001</v>
      </c>
      <c r="E7" s="1">
        <v>0.12559999999999999</v>
      </c>
      <c r="F7">
        <v>1</v>
      </c>
      <c r="G7" s="2">
        <v>426816000</v>
      </c>
      <c r="H7" s="2">
        <v>708057</v>
      </c>
      <c r="I7">
        <v>0</v>
      </c>
      <c r="J7">
        <v>0</v>
      </c>
      <c r="K7">
        <v>0</v>
      </c>
      <c r="L7" s="1">
        <v>0</v>
      </c>
      <c r="M7" s="1">
        <v>0</v>
      </c>
      <c r="N7" s="4">
        <f t="shared" si="0"/>
        <v>1.0466666666666666E-2</v>
      </c>
      <c r="O7" s="5">
        <f t="shared" si="1"/>
        <v>0.99244933333333318</v>
      </c>
      <c r="P7">
        <f t="shared" si="2"/>
        <v>97</v>
      </c>
      <c r="Q7" s="6">
        <f t="shared" si="3"/>
        <v>9197.5399999999991</v>
      </c>
      <c r="R7" s="6">
        <f t="shared" si="4"/>
        <v>96.267585333333315</v>
      </c>
      <c r="S7" t="str">
        <f t="shared" si="6"/>
        <v>Alerta</v>
      </c>
    </row>
    <row r="8" spans="1:19" x14ac:dyDescent="0.3">
      <c r="A8" t="s">
        <v>214</v>
      </c>
      <c r="B8" t="s">
        <v>19</v>
      </c>
      <c r="C8" s="5">
        <f>VLOOKUP(A8,Dim!A:B,2,0)</f>
        <v>22</v>
      </c>
      <c r="D8" s="1">
        <v>0.19489999999999999</v>
      </c>
      <c r="E8" s="1">
        <v>0.18970000000000001</v>
      </c>
      <c r="F8">
        <v>0.21</v>
      </c>
      <c r="G8" s="2">
        <v>485852000</v>
      </c>
      <c r="H8" s="2">
        <v>793051</v>
      </c>
      <c r="I8">
        <v>0</v>
      </c>
      <c r="J8">
        <v>0</v>
      </c>
      <c r="K8">
        <v>0</v>
      </c>
      <c r="L8" s="1">
        <v>0</v>
      </c>
      <c r="M8" s="1">
        <v>0</v>
      </c>
      <c r="N8" s="4">
        <f t="shared" si="0"/>
        <v>1.5808333333333334E-2</v>
      </c>
      <c r="O8" s="5">
        <f t="shared" si="1"/>
        <v>0.34778333333333333</v>
      </c>
      <c r="P8">
        <f t="shared" si="2"/>
        <v>65</v>
      </c>
      <c r="Q8" s="6">
        <f t="shared" si="3"/>
        <v>1430</v>
      </c>
      <c r="R8" s="6">
        <f t="shared" si="4"/>
        <v>22.605916666666666</v>
      </c>
      <c r="S8" t="str">
        <f t="shared" si="6"/>
        <v>Bom</v>
      </c>
    </row>
    <row r="9" spans="1:19" x14ac:dyDescent="0.3">
      <c r="A9" t="s">
        <v>173</v>
      </c>
      <c r="B9" t="s">
        <v>16</v>
      </c>
      <c r="C9" s="5">
        <f>VLOOKUP(A9,Dim!A:B,2,0)</f>
        <v>20.71</v>
      </c>
      <c r="D9" s="1">
        <v>8.9300000000000004E-2</v>
      </c>
      <c r="E9" s="1">
        <v>8.8200000000000001E-2</v>
      </c>
      <c r="F9">
        <v>1</v>
      </c>
      <c r="G9" s="2">
        <v>149898000</v>
      </c>
      <c r="H9" s="2">
        <v>23221</v>
      </c>
      <c r="I9">
        <v>1</v>
      </c>
      <c r="J9" s="3">
        <v>2954.17</v>
      </c>
      <c r="K9">
        <v>284.12</v>
      </c>
      <c r="L9" s="1">
        <v>9.6199999999999994E-2</v>
      </c>
      <c r="M9" s="1">
        <v>1.5599999999999999E-2</v>
      </c>
      <c r="N9" s="4">
        <f t="shared" si="0"/>
        <v>7.3499999999999998E-3</v>
      </c>
      <c r="O9" s="5">
        <f t="shared" si="1"/>
        <v>0.15221850000000001</v>
      </c>
      <c r="P9">
        <f t="shared" si="2"/>
        <v>138</v>
      </c>
      <c r="Q9" s="6">
        <f t="shared" si="3"/>
        <v>2857.98</v>
      </c>
      <c r="R9" s="6">
        <f t="shared" si="4"/>
        <v>21.006153000000001</v>
      </c>
      <c r="S9" t="str">
        <f t="shared" si="6"/>
        <v>Bom</v>
      </c>
    </row>
    <row r="10" spans="1:19" x14ac:dyDescent="0.3">
      <c r="A10" t="s">
        <v>219</v>
      </c>
      <c r="B10" t="s">
        <v>16</v>
      </c>
      <c r="C10" s="5">
        <f>VLOOKUP(A10,Dim!A:B,2,0)</f>
        <v>20.12</v>
      </c>
      <c r="D10" s="1">
        <v>7.7899999999999997E-2</v>
      </c>
      <c r="E10" s="1">
        <v>9.3799999999999994E-2</v>
      </c>
      <c r="F10">
        <v>0.92</v>
      </c>
      <c r="G10" s="2">
        <v>2580080000</v>
      </c>
      <c r="H10" s="2">
        <v>2308060</v>
      </c>
      <c r="I10">
        <v>18</v>
      </c>
      <c r="J10" s="3">
        <v>4006.79</v>
      </c>
      <c r="K10">
        <v>381.45</v>
      </c>
      <c r="L10" s="1">
        <v>9.5200000000000007E-2</v>
      </c>
      <c r="M10" s="1">
        <v>4.4600000000000001E-2</v>
      </c>
      <c r="N10" s="4">
        <f t="shared" si="0"/>
        <v>7.8166666666666662E-3</v>
      </c>
      <c r="O10" s="5">
        <f t="shared" si="1"/>
        <v>0.15727133333333332</v>
      </c>
      <c r="P10">
        <f t="shared" si="2"/>
        <v>129</v>
      </c>
      <c r="Q10" s="6">
        <f t="shared" si="3"/>
        <v>2595.48</v>
      </c>
      <c r="R10" s="6">
        <f t="shared" si="4"/>
        <v>20.288001999999999</v>
      </c>
      <c r="S10" t="str">
        <f t="shared" si="6"/>
        <v>Alerta</v>
      </c>
    </row>
    <row r="11" spans="1:19" x14ac:dyDescent="0.3">
      <c r="A11" t="s">
        <v>27</v>
      </c>
      <c r="B11" t="s">
        <v>28</v>
      </c>
      <c r="C11" s="5">
        <f>VLOOKUP(A11,Dim!A:B,2,0)</f>
        <v>53.15</v>
      </c>
      <c r="D11" s="1">
        <v>0.13569999999999999</v>
      </c>
      <c r="E11" s="1">
        <v>0.1002</v>
      </c>
      <c r="F11">
        <v>0.65</v>
      </c>
      <c r="G11" s="2">
        <v>249452000</v>
      </c>
      <c r="H11" s="2">
        <v>392694</v>
      </c>
      <c r="I11">
        <v>2</v>
      </c>
      <c r="J11" s="3">
        <v>9954.65</v>
      </c>
      <c r="K11" s="3">
        <v>2136.25</v>
      </c>
      <c r="L11" s="1">
        <v>0.21460000000000001</v>
      </c>
      <c r="M11" s="1">
        <v>0</v>
      </c>
      <c r="N11" s="4">
        <f t="shared" si="0"/>
        <v>8.3499999999999998E-3</v>
      </c>
      <c r="O11" s="5">
        <f t="shared" si="1"/>
        <v>0.44380249999999999</v>
      </c>
      <c r="P11">
        <f t="shared" si="2"/>
        <v>121</v>
      </c>
      <c r="Q11" s="6">
        <f t="shared" si="3"/>
        <v>6431.15</v>
      </c>
      <c r="R11" s="6">
        <f t="shared" si="4"/>
        <v>53.7001025</v>
      </c>
      <c r="S11" t="str">
        <f t="shared" si="6"/>
        <v>Bom</v>
      </c>
    </row>
    <row r="12" spans="1:19" x14ac:dyDescent="0.3">
      <c r="A12" t="s">
        <v>327</v>
      </c>
      <c r="B12" t="s">
        <v>91</v>
      </c>
      <c r="C12" s="5">
        <f>VLOOKUP(A12,Dim!A:B,2,0)</f>
        <v>15.91</v>
      </c>
      <c r="D12" s="1">
        <v>-5.4800000000000001E-2</v>
      </c>
      <c r="E12" s="1">
        <v>0</v>
      </c>
      <c r="F12">
        <v>0.68</v>
      </c>
      <c r="G12" s="2">
        <v>20849800</v>
      </c>
      <c r="H12" s="2">
        <v>77353</v>
      </c>
      <c r="I12">
        <v>1</v>
      </c>
      <c r="J12">
        <v>0</v>
      </c>
      <c r="K12">
        <v>203.68</v>
      </c>
      <c r="L12" s="1">
        <v>0</v>
      </c>
      <c r="M12" s="1">
        <v>0</v>
      </c>
      <c r="N12" s="4">
        <f t="shared" si="0"/>
        <v>0</v>
      </c>
      <c r="O12" s="5">
        <f t="shared" si="1"/>
        <v>0</v>
      </c>
      <c r="P12" t="e">
        <f t="shared" si="2"/>
        <v>#DIV/0!</v>
      </c>
      <c r="Q12" s="6" t="e">
        <f t="shared" si="3"/>
        <v>#DIV/0!</v>
      </c>
      <c r="R12" s="6" t="e">
        <f t="shared" si="4"/>
        <v>#DIV/0!</v>
      </c>
      <c r="S12" t="str">
        <f t="shared" si="6"/>
        <v>Alerta</v>
      </c>
    </row>
    <row r="13" spans="1:19" x14ac:dyDescent="0.3">
      <c r="A13" t="s">
        <v>30</v>
      </c>
      <c r="B13" t="s">
        <v>28</v>
      </c>
      <c r="C13" s="5">
        <f>VLOOKUP(A13,Dim!A:B,2,0)</f>
        <v>620</v>
      </c>
      <c r="D13" s="1">
        <v>6.88E-2</v>
      </c>
      <c r="E13" s="1">
        <v>8.1500000000000003E-2</v>
      </c>
      <c r="F13">
        <v>0.28999999999999998</v>
      </c>
      <c r="G13" s="2">
        <v>66706200</v>
      </c>
      <c r="H13" s="2">
        <v>14534</v>
      </c>
      <c r="I13">
        <v>1</v>
      </c>
      <c r="J13" s="3">
        <v>1454.59</v>
      </c>
      <c r="K13">
        <v>228.97</v>
      </c>
      <c r="L13" s="1">
        <v>0.15740000000000001</v>
      </c>
      <c r="M13" s="1">
        <v>0.91900000000000004</v>
      </c>
      <c r="N13" s="4">
        <f t="shared" si="0"/>
        <v>6.7916666666666672E-3</v>
      </c>
      <c r="O13" s="5">
        <f t="shared" si="1"/>
        <v>4.2108333333333334</v>
      </c>
      <c r="P13">
        <f t="shared" si="2"/>
        <v>149</v>
      </c>
      <c r="Q13" s="6">
        <f t="shared" si="3"/>
        <v>92380</v>
      </c>
      <c r="R13" s="6">
        <f t="shared" si="4"/>
        <v>627.41416666666669</v>
      </c>
      <c r="S13" t="str">
        <f t="shared" si="6"/>
        <v>Alerta</v>
      </c>
    </row>
    <row r="14" spans="1:19" x14ac:dyDescent="0.3">
      <c r="A14" t="s">
        <v>145</v>
      </c>
      <c r="B14" t="s">
        <v>14</v>
      </c>
      <c r="C14" s="5">
        <f>VLOOKUP(A14,Dim!A:B,2,0)</f>
        <v>15.59</v>
      </c>
      <c r="D14" s="1">
        <v>1.6500000000000001E-2</v>
      </c>
      <c r="E14" s="1">
        <v>4.9399999999999999E-2</v>
      </c>
      <c r="F14">
        <v>0.32</v>
      </c>
      <c r="G14" s="2">
        <v>57180800</v>
      </c>
      <c r="H14" s="2">
        <v>15151</v>
      </c>
      <c r="I14">
        <v>1</v>
      </c>
      <c r="J14" s="3">
        <v>2281.48</v>
      </c>
      <c r="K14">
        <v>294.94</v>
      </c>
      <c r="L14" s="1">
        <v>0.1293</v>
      </c>
      <c r="M14" s="1">
        <v>0.23549999999999999</v>
      </c>
      <c r="N14" s="4">
        <f t="shared" si="0"/>
        <v>4.1166666666666669E-3</v>
      </c>
      <c r="O14" s="5">
        <f t="shared" si="1"/>
        <v>6.4178833333333338E-2</v>
      </c>
      <c r="P14">
        <f t="shared" si="2"/>
        <v>244</v>
      </c>
      <c r="Q14" s="6">
        <f t="shared" si="3"/>
        <v>3803.96</v>
      </c>
      <c r="R14" s="6">
        <f t="shared" si="4"/>
        <v>15.659635333333334</v>
      </c>
      <c r="S14" t="str">
        <f t="shared" si="6"/>
        <v>Alerta</v>
      </c>
    </row>
    <row r="15" spans="1:19" x14ac:dyDescent="0.3">
      <c r="A15" t="s">
        <v>133</v>
      </c>
      <c r="B15" t="s">
        <v>16</v>
      </c>
      <c r="C15" s="5">
        <f>VLOOKUP(A15,Dim!A:B,2,0)</f>
        <v>13</v>
      </c>
      <c r="D15" s="1">
        <v>7.3000000000000001E-3</v>
      </c>
      <c r="E15" s="1">
        <v>2.92E-2</v>
      </c>
      <c r="F15">
        <v>0.92</v>
      </c>
      <c r="G15" s="2">
        <v>237537000</v>
      </c>
      <c r="H15">
        <v>320</v>
      </c>
      <c r="I15">
        <v>2</v>
      </c>
      <c r="J15" s="3">
        <v>1357.02</v>
      </c>
      <c r="K15">
        <v>174.25</v>
      </c>
      <c r="L15" s="1">
        <v>0.12839999999999999</v>
      </c>
      <c r="M15" s="1">
        <v>2.9000000000000001E-2</v>
      </c>
      <c r="N15" s="4">
        <f t="shared" si="0"/>
        <v>2.4333333333333334E-3</v>
      </c>
      <c r="O15" s="5">
        <f t="shared" si="1"/>
        <v>3.1633333333333333E-2</v>
      </c>
      <c r="P15">
        <f t="shared" si="2"/>
        <v>412</v>
      </c>
      <c r="Q15" s="6">
        <f t="shared" si="3"/>
        <v>5356</v>
      </c>
      <c r="R15" s="6">
        <f t="shared" si="4"/>
        <v>13.032933333333332</v>
      </c>
      <c r="S15" t="str">
        <f t="shared" si="6"/>
        <v>Alerta</v>
      </c>
    </row>
    <row r="16" spans="1:19" x14ac:dyDescent="0.3">
      <c r="A16" t="s">
        <v>116</v>
      </c>
      <c r="B16" t="s">
        <v>47</v>
      </c>
      <c r="C16" s="5">
        <f>VLOOKUP(A16,Dim!A:B,2,0)</f>
        <v>12.39</v>
      </c>
      <c r="D16" s="1">
        <v>2.5000000000000001E-3</v>
      </c>
      <c r="E16" s="1">
        <v>8.3699999999999997E-2</v>
      </c>
      <c r="F16">
        <v>1.1399999999999999</v>
      </c>
      <c r="G16" s="2">
        <v>535573000</v>
      </c>
      <c r="H16" s="2">
        <v>9648610</v>
      </c>
      <c r="I16">
        <v>1</v>
      </c>
      <c r="J16">
        <v>660.31</v>
      </c>
      <c r="K16">
        <v>2.89</v>
      </c>
      <c r="L16" s="1">
        <v>4.4000000000000003E-3</v>
      </c>
      <c r="M16" s="1">
        <v>0</v>
      </c>
      <c r="N16" s="4">
        <f t="shared" si="0"/>
        <v>6.9749999999999994E-3</v>
      </c>
      <c r="O16" s="5">
        <f t="shared" si="1"/>
        <v>8.642024999999999E-2</v>
      </c>
      <c r="P16">
        <f t="shared" si="2"/>
        <v>145</v>
      </c>
      <c r="Q16" s="6">
        <f t="shared" si="3"/>
        <v>1796.5500000000002</v>
      </c>
      <c r="R16" s="6">
        <f t="shared" si="4"/>
        <v>12.530936249999998</v>
      </c>
      <c r="S16" t="str">
        <f t="shared" si="6"/>
        <v>Alerta</v>
      </c>
    </row>
    <row r="17" spans="1:19" x14ac:dyDescent="0.3">
      <c r="A17" t="s">
        <v>306</v>
      </c>
      <c r="B17" t="s">
        <v>37</v>
      </c>
      <c r="C17" s="5">
        <f>VLOOKUP(A17,Dim!A:B,2,0)</f>
        <v>12.26</v>
      </c>
      <c r="D17" s="1">
        <v>-7.4999999999999997E-3</v>
      </c>
      <c r="E17" s="1">
        <v>0</v>
      </c>
      <c r="F17">
        <v>1.03</v>
      </c>
      <c r="G17" s="2">
        <v>65778400</v>
      </c>
      <c r="H17" s="2">
        <v>69018</v>
      </c>
      <c r="I17">
        <v>2</v>
      </c>
      <c r="J17">
        <v>440.7</v>
      </c>
      <c r="K17">
        <v>0</v>
      </c>
      <c r="L17" s="1">
        <v>0</v>
      </c>
      <c r="M17" s="1">
        <v>0</v>
      </c>
      <c r="N17" s="4">
        <f t="shared" si="0"/>
        <v>0</v>
      </c>
      <c r="O17" s="5">
        <f t="shared" si="1"/>
        <v>0</v>
      </c>
      <c r="P17" t="e">
        <f t="shared" si="2"/>
        <v>#DIV/0!</v>
      </c>
      <c r="Q17" s="6" t="e">
        <f t="shared" si="3"/>
        <v>#DIV/0!</v>
      </c>
      <c r="R17" s="6" t="e">
        <f t="shared" si="4"/>
        <v>#DIV/0!</v>
      </c>
      <c r="S17" t="str">
        <f t="shared" si="6"/>
        <v>Alerta</v>
      </c>
    </row>
    <row r="18" spans="1:19" x14ac:dyDescent="0.3">
      <c r="A18" t="s">
        <v>35</v>
      </c>
      <c r="B18" t="s">
        <v>16</v>
      </c>
      <c r="C18" s="5">
        <f>VLOOKUP(A18,Dim!A:B,2,0)</f>
        <v>249.3</v>
      </c>
      <c r="D18" s="1">
        <v>5.1200000000000002E-2</v>
      </c>
      <c r="E18" s="1">
        <v>1.7600000000000001E-2</v>
      </c>
      <c r="F18">
        <v>1.74</v>
      </c>
      <c r="G18" s="2">
        <v>5335780000</v>
      </c>
      <c r="H18" s="2">
        <v>8062</v>
      </c>
      <c r="I18">
        <v>7</v>
      </c>
      <c r="J18" s="3">
        <v>17988.8</v>
      </c>
      <c r="K18" s="3">
        <v>1170.46</v>
      </c>
      <c r="L18" s="1">
        <v>6.5100000000000005E-2</v>
      </c>
      <c r="M18" s="1">
        <v>4.3400000000000001E-2</v>
      </c>
      <c r="N18" s="4">
        <f t="shared" si="0"/>
        <v>1.4666666666666667E-3</v>
      </c>
      <c r="O18" s="5">
        <f t="shared" si="1"/>
        <v>0.36564000000000002</v>
      </c>
      <c r="P18">
        <f t="shared" si="2"/>
        <v>683</v>
      </c>
      <c r="Q18" s="6">
        <f t="shared" si="3"/>
        <v>170271.9</v>
      </c>
      <c r="R18" s="6">
        <f t="shared" si="4"/>
        <v>249.73212000000001</v>
      </c>
      <c r="S18" t="str">
        <f t="shared" si="6"/>
        <v>Bom</v>
      </c>
    </row>
    <row r="19" spans="1:19" x14ac:dyDescent="0.3">
      <c r="A19" t="s">
        <v>345</v>
      </c>
      <c r="B19" t="s">
        <v>106</v>
      </c>
      <c r="C19" s="5">
        <f>VLOOKUP(A19,Dim!A:B,2,0)</f>
        <v>12.31</v>
      </c>
      <c r="D19" s="1">
        <v>0.10929999999999999</v>
      </c>
      <c r="E19" s="1">
        <v>8.4099999999999994E-2</v>
      </c>
      <c r="F19">
        <v>0.74</v>
      </c>
      <c r="G19" s="2">
        <v>508308000</v>
      </c>
      <c r="H19" s="2">
        <v>14096</v>
      </c>
      <c r="I19">
        <v>4</v>
      </c>
      <c r="J19" s="3">
        <v>16466.8</v>
      </c>
      <c r="K19" s="3">
        <v>1874.07</v>
      </c>
      <c r="L19" s="1">
        <v>0.1138</v>
      </c>
      <c r="M19" s="1">
        <v>0</v>
      </c>
      <c r="N19" s="4">
        <f t="shared" si="0"/>
        <v>7.0083333333333326E-3</v>
      </c>
      <c r="O19" s="5">
        <f t="shared" si="1"/>
        <v>8.6272583333333333E-2</v>
      </c>
      <c r="P19">
        <f t="shared" si="2"/>
        <v>144</v>
      </c>
      <c r="Q19" s="6">
        <f t="shared" si="3"/>
        <v>1772.64</v>
      </c>
      <c r="R19" s="6">
        <f t="shared" si="4"/>
        <v>12.423252</v>
      </c>
      <c r="S19" t="str">
        <f t="shared" si="6"/>
        <v>Bom</v>
      </c>
    </row>
    <row r="20" spans="1:19" x14ac:dyDescent="0.3">
      <c r="A20" t="s">
        <v>38</v>
      </c>
      <c r="B20" t="s">
        <v>16</v>
      </c>
      <c r="C20" s="5">
        <f>VLOOKUP(A20,Dim!A:B,2,0)</f>
        <v>75.489999999999995</v>
      </c>
      <c r="D20" s="1">
        <v>5.1200000000000002E-2</v>
      </c>
      <c r="E20" s="1">
        <v>5.5500000000000001E-2</v>
      </c>
      <c r="F20">
        <v>0.61</v>
      </c>
      <c r="G20" s="2">
        <v>212186000</v>
      </c>
      <c r="H20" s="2">
        <v>55653</v>
      </c>
      <c r="I20">
        <v>1</v>
      </c>
      <c r="J20" s="3">
        <v>1174.47</v>
      </c>
      <c r="K20">
        <v>157.83000000000001</v>
      </c>
      <c r="L20" s="1">
        <v>0.13439999999999999</v>
      </c>
      <c r="M20" s="1">
        <v>0</v>
      </c>
      <c r="N20" s="4">
        <f t="shared" si="0"/>
        <v>4.6249999999999998E-3</v>
      </c>
      <c r="O20" s="5">
        <f t="shared" si="1"/>
        <v>0.34914124999999996</v>
      </c>
      <c r="P20">
        <f t="shared" si="2"/>
        <v>218</v>
      </c>
      <c r="Q20" s="6">
        <f t="shared" si="3"/>
        <v>16456.82</v>
      </c>
      <c r="R20" s="6">
        <f t="shared" si="4"/>
        <v>76.112792499999998</v>
      </c>
      <c r="S20" t="str">
        <f t="shared" si="6"/>
        <v>Alerta</v>
      </c>
    </row>
    <row r="21" spans="1:19" x14ac:dyDescent="0.3">
      <c r="A21" t="s">
        <v>512</v>
      </c>
      <c r="B21" t="s">
        <v>14</v>
      </c>
      <c r="C21" s="5">
        <f>VLOOKUP(A21,Dim!A:B,2,0)</f>
        <v>11</v>
      </c>
      <c r="D21" s="1">
        <v>0.13200000000000001</v>
      </c>
      <c r="E21" s="1">
        <v>8.2199999999999995E-2</v>
      </c>
      <c r="F21">
        <v>1.0900000000000001</v>
      </c>
      <c r="G21" s="2">
        <v>104283000</v>
      </c>
      <c r="H21" s="2">
        <v>135563</v>
      </c>
      <c r="I21">
        <v>0</v>
      </c>
      <c r="J21">
        <v>0</v>
      </c>
      <c r="K21">
        <v>0</v>
      </c>
      <c r="L21" s="1">
        <v>0</v>
      </c>
      <c r="M21" s="1">
        <v>0</v>
      </c>
      <c r="N21" s="4">
        <f t="shared" si="0"/>
        <v>6.8499999999999993E-3</v>
      </c>
      <c r="O21" s="5">
        <f t="shared" si="1"/>
        <v>7.5349999999999986E-2</v>
      </c>
      <c r="P21">
        <f t="shared" si="2"/>
        <v>147</v>
      </c>
      <c r="Q21" s="6">
        <f t="shared" si="3"/>
        <v>1617</v>
      </c>
      <c r="R21" s="6">
        <f t="shared" si="4"/>
        <v>11.076449999999998</v>
      </c>
      <c r="S21" t="str">
        <f t="shared" si="6"/>
        <v>Bom</v>
      </c>
    </row>
    <row r="22" spans="1:19" x14ac:dyDescent="0.3">
      <c r="A22" t="s">
        <v>33</v>
      </c>
      <c r="B22" t="s">
        <v>19</v>
      </c>
      <c r="C22" s="5">
        <f>VLOOKUP(A22,Dim!A:B,2,0)</f>
        <v>10.52</v>
      </c>
      <c r="D22" s="1">
        <v>8.1500000000000003E-2</v>
      </c>
      <c r="E22" s="1">
        <v>9.1600000000000001E-2</v>
      </c>
      <c r="F22">
        <v>0.99</v>
      </c>
      <c r="G22" s="2">
        <v>1293580000</v>
      </c>
      <c r="H22" s="2">
        <v>1538510</v>
      </c>
      <c r="I22">
        <v>19</v>
      </c>
      <c r="J22" s="3">
        <v>4581.66</v>
      </c>
      <c r="K22">
        <v>347.49</v>
      </c>
      <c r="L22" s="1">
        <v>7.5800000000000006E-2</v>
      </c>
      <c r="M22" s="1">
        <v>0</v>
      </c>
      <c r="N22" s="4">
        <f t="shared" si="0"/>
        <v>7.6333333333333331E-3</v>
      </c>
      <c r="O22" s="5">
        <f t="shared" si="1"/>
        <v>8.0302666666666661E-2</v>
      </c>
      <c r="P22">
        <f t="shared" si="2"/>
        <v>133</v>
      </c>
      <c r="Q22" s="6">
        <f t="shared" si="3"/>
        <v>1399.1599999999999</v>
      </c>
      <c r="R22" s="6">
        <f t="shared" si="4"/>
        <v>10.680254666666666</v>
      </c>
      <c r="S22" t="str">
        <f t="shared" si="6"/>
        <v>Alerta</v>
      </c>
    </row>
    <row r="23" spans="1:19" x14ac:dyDescent="0.3">
      <c r="A23" t="s">
        <v>121</v>
      </c>
      <c r="B23" t="s">
        <v>14</v>
      </c>
      <c r="C23" s="5">
        <f>VLOOKUP(A23,Dim!A:B,2,0)</f>
        <v>10.6</v>
      </c>
      <c r="D23" s="1">
        <v>7.4499999999999997E-2</v>
      </c>
      <c r="E23" s="1">
        <v>0.1042</v>
      </c>
      <c r="F23">
        <v>1.04</v>
      </c>
      <c r="G23" s="2">
        <v>709846000</v>
      </c>
      <c r="H23" s="2">
        <v>10008100</v>
      </c>
      <c r="I23">
        <v>12</v>
      </c>
      <c r="J23" s="3">
        <v>8425.3700000000008</v>
      </c>
      <c r="K23">
        <v>468.28</v>
      </c>
      <c r="L23" s="1">
        <v>5.5599999999999997E-2</v>
      </c>
      <c r="M23" s="1">
        <v>7.3000000000000001E-3</v>
      </c>
      <c r="N23" s="4">
        <f t="shared" si="0"/>
        <v>8.6833333333333328E-3</v>
      </c>
      <c r="O23" s="5">
        <f t="shared" si="1"/>
        <v>9.2043333333333324E-2</v>
      </c>
      <c r="P23">
        <f t="shared" si="2"/>
        <v>117</v>
      </c>
      <c r="Q23" s="6">
        <f t="shared" si="3"/>
        <v>1240.2</v>
      </c>
      <c r="R23" s="6">
        <f t="shared" si="4"/>
        <v>10.769069999999999</v>
      </c>
      <c r="S23" t="str">
        <f t="shared" si="6"/>
        <v>Alerta</v>
      </c>
    </row>
    <row r="24" spans="1:19" x14ac:dyDescent="0.3">
      <c r="A24" t="s">
        <v>459</v>
      </c>
      <c r="B24" t="s">
        <v>16</v>
      </c>
      <c r="C24" s="5">
        <f>VLOOKUP(A24,Dim!A:B,2,0)</f>
        <v>10.51</v>
      </c>
      <c r="D24" s="1">
        <v>4.7899999999999998E-2</v>
      </c>
      <c r="E24" s="1">
        <v>3.78E-2</v>
      </c>
      <c r="F24">
        <v>1.02</v>
      </c>
      <c r="G24" s="2">
        <v>458850000</v>
      </c>
      <c r="H24" s="2">
        <v>2790780</v>
      </c>
      <c r="I24">
        <v>0</v>
      </c>
      <c r="J24">
        <v>0</v>
      </c>
      <c r="K24">
        <v>0</v>
      </c>
      <c r="L24" s="1">
        <v>0</v>
      </c>
      <c r="M24" s="1">
        <v>0</v>
      </c>
      <c r="N24" s="4">
        <f t="shared" si="0"/>
        <v>3.15E-3</v>
      </c>
      <c r="O24" s="5">
        <f t="shared" si="1"/>
        <v>3.3106499999999997E-2</v>
      </c>
      <c r="P24">
        <f t="shared" si="2"/>
        <v>319</v>
      </c>
      <c r="Q24" s="6">
        <f t="shared" si="3"/>
        <v>3352.69</v>
      </c>
      <c r="R24" s="6">
        <f t="shared" si="4"/>
        <v>10.560973499999999</v>
      </c>
      <c r="S24" t="str">
        <f t="shared" si="6"/>
        <v>Bom</v>
      </c>
    </row>
    <row r="25" spans="1:19" x14ac:dyDescent="0.3">
      <c r="A25" t="s">
        <v>550</v>
      </c>
      <c r="B25" t="s">
        <v>14</v>
      </c>
      <c r="C25" s="5">
        <f>VLOOKUP(A25,Dim!A:B,2,0)</f>
        <v>10.39</v>
      </c>
      <c r="D25" s="1">
        <v>5.6300000000000003E-2</v>
      </c>
      <c r="E25" s="1">
        <v>6.9400000000000003E-2</v>
      </c>
      <c r="F25">
        <v>1.1499999999999999</v>
      </c>
      <c r="G25" s="2">
        <v>92384400</v>
      </c>
      <c r="H25" s="2">
        <v>7623</v>
      </c>
      <c r="I25">
        <v>1</v>
      </c>
      <c r="J25" s="3">
        <v>2824.78</v>
      </c>
      <c r="K25">
        <v>143.93</v>
      </c>
      <c r="L25" s="1">
        <v>5.0999999999999997E-2</v>
      </c>
      <c r="M25" s="1">
        <v>0</v>
      </c>
      <c r="N25" s="4">
        <f t="shared" si="0"/>
        <v>5.7833333333333339E-3</v>
      </c>
      <c r="O25" s="5">
        <f t="shared" si="1"/>
        <v>6.0088833333333341E-2</v>
      </c>
      <c r="P25">
        <f t="shared" si="2"/>
        <v>174</v>
      </c>
      <c r="Q25" s="6">
        <f t="shared" si="3"/>
        <v>1807.8600000000001</v>
      </c>
      <c r="R25" s="6">
        <f t="shared" si="4"/>
        <v>10.455457000000001</v>
      </c>
      <c r="S25" t="str">
        <f t="shared" si="6"/>
        <v>Alerta</v>
      </c>
    </row>
    <row r="26" spans="1:19" x14ac:dyDescent="0.3">
      <c r="A26" t="s">
        <v>44</v>
      </c>
      <c r="B26" t="s">
        <v>14</v>
      </c>
      <c r="C26" s="5">
        <f>VLOOKUP(A26,Dim!A:B,2,0)</f>
        <v>10912.03</v>
      </c>
      <c r="D26" s="1">
        <v>-2.18E-2</v>
      </c>
      <c r="E26" s="1">
        <v>0</v>
      </c>
      <c r="F26">
        <v>1.1200000000000001</v>
      </c>
      <c r="G26" s="2">
        <v>43552000</v>
      </c>
      <c r="H26" s="2">
        <v>1694</v>
      </c>
      <c r="I26">
        <v>2</v>
      </c>
      <c r="J26" s="3">
        <v>5910.79</v>
      </c>
      <c r="K26">
        <v>0</v>
      </c>
      <c r="L26" s="1">
        <v>0</v>
      </c>
      <c r="M26" s="1">
        <v>0</v>
      </c>
      <c r="N26" s="4">
        <f t="shared" si="0"/>
        <v>0</v>
      </c>
      <c r="O26" s="5">
        <f t="shared" si="1"/>
        <v>0</v>
      </c>
      <c r="P26" t="e">
        <f t="shared" si="2"/>
        <v>#DIV/0!</v>
      </c>
      <c r="Q26" s="6" t="e">
        <f t="shared" si="3"/>
        <v>#DIV/0!</v>
      </c>
      <c r="R26" s="6" t="e">
        <f t="shared" si="4"/>
        <v>#DIV/0!</v>
      </c>
      <c r="S26" t="str">
        <f t="shared" si="6"/>
        <v>Alerta</v>
      </c>
    </row>
    <row r="27" spans="1:19" x14ac:dyDescent="0.3">
      <c r="A27" t="s">
        <v>45</v>
      </c>
      <c r="B27" t="s">
        <v>16</v>
      </c>
      <c r="C27" s="5">
        <f>VLOOKUP(A27,Dim!A:B,2,0)</f>
        <v>51</v>
      </c>
      <c r="D27" s="1">
        <v>4.99E-2</v>
      </c>
      <c r="E27" s="1">
        <v>1.9300000000000001E-2</v>
      </c>
      <c r="F27">
        <v>0.67</v>
      </c>
      <c r="G27" s="2">
        <v>89255700</v>
      </c>
      <c r="H27" s="2">
        <v>10736</v>
      </c>
      <c r="I27">
        <v>1</v>
      </c>
      <c r="J27" s="3">
        <v>2625.27</v>
      </c>
      <c r="K27">
        <v>149.41999999999999</v>
      </c>
      <c r="L27" s="1">
        <v>5.6899999999999999E-2</v>
      </c>
      <c r="M27" s="1">
        <v>0.16769999999999999</v>
      </c>
      <c r="N27" s="4">
        <f t="shared" si="0"/>
        <v>1.6083333333333334E-3</v>
      </c>
      <c r="O27" s="5">
        <f t="shared" si="1"/>
        <v>8.2025000000000001E-2</v>
      </c>
      <c r="P27">
        <f t="shared" si="2"/>
        <v>623</v>
      </c>
      <c r="Q27" s="6">
        <f t="shared" si="3"/>
        <v>31773</v>
      </c>
      <c r="R27" s="6">
        <f t="shared" si="4"/>
        <v>51.101575000000004</v>
      </c>
      <c r="S27" t="str">
        <f t="shared" si="6"/>
        <v>Bom</v>
      </c>
    </row>
    <row r="28" spans="1:19" x14ac:dyDescent="0.3">
      <c r="A28" t="s">
        <v>46</v>
      </c>
      <c r="B28" t="s">
        <v>47</v>
      </c>
      <c r="C28" s="5">
        <f>VLOOKUP(A28,Dim!A:B,2,0)</f>
        <v>81</v>
      </c>
      <c r="D28" s="1">
        <v>2.8400000000000002E-2</v>
      </c>
      <c r="E28" s="1">
        <v>1.43E-2</v>
      </c>
      <c r="F28">
        <v>1</v>
      </c>
      <c r="G28" s="2">
        <v>87915600</v>
      </c>
      <c r="H28" s="2">
        <v>776139</v>
      </c>
      <c r="I28">
        <v>2</v>
      </c>
      <c r="J28" s="3">
        <v>2143.36</v>
      </c>
      <c r="K28">
        <v>147.94999999999999</v>
      </c>
      <c r="L28" s="1">
        <v>6.9000000000000006E-2</v>
      </c>
      <c r="M28" s="1">
        <v>0.28939999999999999</v>
      </c>
      <c r="N28" s="4">
        <f t="shared" si="0"/>
        <v>1.1916666666666666E-3</v>
      </c>
      <c r="O28" s="5">
        <f t="shared" si="1"/>
        <v>9.6525E-2</v>
      </c>
      <c r="P28">
        <f t="shared" si="2"/>
        <v>841</v>
      </c>
      <c r="Q28" s="6">
        <f t="shared" si="3"/>
        <v>68121</v>
      </c>
      <c r="R28" s="6">
        <f t="shared" si="4"/>
        <v>81.177525000000003</v>
      </c>
      <c r="S28" t="str">
        <f t="shared" si="6"/>
        <v>Bom</v>
      </c>
    </row>
    <row r="29" spans="1:19" x14ac:dyDescent="0.3">
      <c r="A29" t="s">
        <v>350</v>
      </c>
      <c r="B29" t="s">
        <v>14</v>
      </c>
      <c r="C29" s="5">
        <f>VLOOKUP(A29,Dim!A:B,2,0)</f>
        <v>10.130000000000001</v>
      </c>
      <c r="D29" s="1">
        <v>4.02E-2</v>
      </c>
      <c r="E29" s="1">
        <v>3.7600000000000001E-2</v>
      </c>
      <c r="F29">
        <v>0.86</v>
      </c>
      <c r="G29" s="2">
        <v>10338500</v>
      </c>
      <c r="H29" s="2">
        <v>6345</v>
      </c>
      <c r="I29">
        <v>0</v>
      </c>
      <c r="J29">
        <v>0</v>
      </c>
      <c r="K29">
        <v>0</v>
      </c>
      <c r="L29" s="1">
        <v>0</v>
      </c>
      <c r="M29" s="1">
        <v>0</v>
      </c>
      <c r="N29" s="4">
        <f t="shared" si="0"/>
        <v>3.1333333333333335E-3</v>
      </c>
      <c r="O29" s="5">
        <f t="shared" si="1"/>
        <v>3.1740666666666667E-2</v>
      </c>
      <c r="P29">
        <f t="shared" si="2"/>
        <v>321</v>
      </c>
      <c r="Q29" s="6">
        <f t="shared" si="3"/>
        <v>3251.7300000000005</v>
      </c>
      <c r="R29" s="6">
        <f t="shared" si="4"/>
        <v>10.188753999999999</v>
      </c>
      <c r="S29" t="str">
        <f t="shared" si="6"/>
        <v>Bom</v>
      </c>
    </row>
    <row r="30" spans="1:19" x14ac:dyDescent="0.3">
      <c r="A30" t="s">
        <v>320</v>
      </c>
      <c r="B30" t="s">
        <v>47</v>
      </c>
      <c r="C30" s="5">
        <f>VLOOKUP(A30,Dim!A:B,2,0)</f>
        <v>10</v>
      </c>
      <c r="D30" s="1">
        <v>4.53E-2</v>
      </c>
      <c r="E30" s="1">
        <v>7.9200000000000007E-2</v>
      </c>
      <c r="F30">
        <v>0.74</v>
      </c>
      <c r="G30" s="2">
        <v>1270110000</v>
      </c>
      <c r="H30" s="2">
        <v>349971</v>
      </c>
      <c r="I30">
        <v>5</v>
      </c>
      <c r="J30" s="3">
        <v>1980.78</v>
      </c>
      <c r="K30">
        <v>77.680000000000007</v>
      </c>
      <c r="L30" s="1">
        <v>3.9199999999999999E-2</v>
      </c>
      <c r="M30" s="1">
        <v>0</v>
      </c>
      <c r="N30" s="4">
        <f t="shared" si="0"/>
        <v>6.6000000000000008E-3</v>
      </c>
      <c r="O30" s="5">
        <f t="shared" si="1"/>
        <v>6.6000000000000003E-2</v>
      </c>
      <c r="P30">
        <f t="shared" si="2"/>
        <v>153</v>
      </c>
      <c r="Q30" s="6">
        <f t="shared" si="3"/>
        <v>1530</v>
      </c>
      <c r="R30" s="6">
        <f t="shared" si="4"/>
        <v>10.098000000000001</v>
      </c>
      <c r="S30" t="str">
        <f t="shared" si="6"/>
        <v>Alerta</v>
      </c>
    </row>
    <row r="31" spans="1:19" x14ac:dyDescent="0.3">
      <c r="A31" t="s">
        <v>50</v>
      </c>
      <c r="B31" t="s">
        <v>28</v>
      </c>
      <c r="C31" s="5">
        <f>VLOOKUP(A31,Dim!A:B,2,0)</f>
        <v>365</v>
      </c>
      <c r="D31" s="1">
        <v>-0.1066</v>
      </c>
      <c r="E31" s="1">
        <v>0</v>
      </c>
      <c r="F31">
        <v>0.51</v>
      </c>
      <c r="G31" s="2">
        <v>45701500</v>
      </c>
      <c r="H31" s="2">
        <v>49241</v>
      </c>
      <c r="I31">
        <v>1</v>
      </c>
      <c r="J31">
        <v>886.09</v>
      </c>
      <c r="K31">
        <v>3.55</v>
      </c>
      <c r="L31" s="1">
        <v>4.0000000000000001E-3</v>
      </c>
      <c r="M31" s="1">
        <v>1</v>
      </c>
      <c r="N31" s="4">
        <f t="shared" si="0"/>
        <v>0</v>
      </c>
      <c r="O31" s="5">
        <f t="shared" si="1"/>
        <v>0</v>
      </c>
      <c r="P31" t="e">
        <f t="shared" si="2"/>
        <v>#DIV/0!</v>
      </c>
      <c r="Q31" s="6" t="e">
        <f t="shared" si="3"/>
        <v>#DIV/0!</v>
      </c>
      <c r="R31" s="6" t="e">
        <f t="shared" si="4"/>
        <v>#DIV/0!</v>
      </c>
      <c r="S31" t="str">
        <f t="shared" si="6"/>
        <v>Alerta</v>
      </c>
    </row>
    <row r="32" spans="1:19" x14ac:dyDescent="0.3">
      <c r="A32" t="s">
        <v>51</v>
      </c>
      <c r="B32" t="s">
        <v>19</v>
      </c>
      <c r="C32" s="5">
        <f>VLOOKUP(A32,Dim!A:B,2,0)</f>
        <v>62.62</v>
      </c>
      <c r="D32" s="1">
        <v>0.1968</v>
      </c>
      <c r="E32" s="1">
        <v>0.1341</v>
      </c>
      <c r="F32">
        <v>0.83</v>
      </c>
      <c r="G32" s="2">
        <v>249043000</v>
      </c>
      <c r="H32" s="2">
        <v>296523</v>
      </c>
      <c r="I32">
        <v>0</v>
      </c>
      <c r="J32">
        <v>0</v>
      </c>
      <c r="K32">
        <v>0</v>
      </c>
      <c r="L32" s="1">
        <v>0</v>
      </c>
      <c r="M32" s="1">
        <v>0</v>
      </c>
      <c r="N32" s="4">
        <f t="shared" si="0"/>
        <v>1.1174999999999999E-2</v>
      </c>
      <c r="O32" s="5">
        <f t="shared" si="1"/>
        <v>0.69977849999999997</v>
      </c>
      <c r="P32">
        <f t="shared" si="2"/>
        <v>91</v>
      </c>
      <c r="Q32" s="6">
        <f t="shared" si="3"/>
        <v>5698.42</v>
      </c>
      <c r="R32" s="6">
        <f t="shared" si="4"/>
        <v>63.679843499999997</v>
      </c>
      <c r="S32" t="str">
        <f t="shared" si="6"/>
        <v>Bom</v>
      </c>
    </row>
    <row r="33" spans="1:19" x14ac:dyDescent="0.3">
      <c r="A33" t="s">
        <v>52</v>
      </c>
      <c r="B33" t="s">
        <v>14</v>
      </c>
      <c r="C33" s="5">
        <f>VLOOKUP(A33,Dim!A:B,2,0)</f>
        <v>63.7</v>
      </c>
      <c r="D33" s="1">
        <v>0.19939999999999999</v>
      </c>
      <c r="E33" s="1">
        <v>0.15609999999999999</v>
      </c>
      <c r="F33">
        <v>0.69</v>
      </c>
      <c r="G33" s="2">
        <v>258133000</v>
      </c>
      <c r="H33" s="2">
        <v>315304</v>
      </c>
      <c r="I33">
        <v>0</v>
      </c>
      <c r="J33">
        <v>0</v>
      </c>
      <c r="K33">
        <v>0</v>
      </c>
      <c r="L33" s="1">
        <v>0</v>
      </c>
      <c r="M33" s="1">
        <v>0</v>
      </c>
      <c r="N33" s="4">
        <f t="shared" si="0"/>
        <v>1.3008333333333332E-2</v>
      </c>
      <c r="O33" s="5">
        <f t="shared" si="1"/>
        <v>0.82863083333333332</v>
      </c>
      <c r="P33">
        <f t="shared" si="2"/>
        <v>78</v>
      </c>
      <c r="Q33" s="6">
        <f t="shared" si="3"/>
        <v>4968.6000000000004</v>
      </c>
      <c r="R33" s="6">
        <f t="shared" si="4"/>
        <v>64.633205000000004</v>
      </c>
      <c r="S33" t="str">
        <f t="shared" si="6"/>
        <v>Bom</v>
      </c>
    </row>
    <row r="34" spans="1:19" x14ac:dyDescent="0.3">
      <c r="A34" t="s">
        <v>217</v>
      </c>
      <c r="B34" t="s">
        <v>14</v>
      </c>
      <c r="C34" s="5">
        <f>VLOOKUP(A34,Dim!A:B,2,0)</f>
        <v>10.220000000000001</v>
      </c>
      <c r="D34" s="1">
        <v>6.3799999999999996E-2</v>
      </c>
      <c r="E34" s="1">
        <v>0.21859999999999999</v>
      </c>
      <c r="F34">
        <v>0.43</v>
      </c>
      <c r="G34" s="2">
        <v>2519760</v>
      </c>
      <c r="H34">
        <v>504</v>
      </c>
      <c r="I34">
        <v>0</v>
      </c>
      <c r="J34">
        <v>0</v>
      </c>
      <c r="K34">
        <v>0</v>
      </c>
      <c r="L34" s="1">
        <v>0</v>
      </c>
      <c r="M34" s="1">
        <v>0</v>
      </c>
      <c r="N34" s="4">
        <f t="shared" si="0"/>
        <v>1.8216666666666666E-2</v>
      </c>
      <c r="O34" s="5">
        <f t="shared" si="1"/>
        <v>0.18617433333333333</v>
      </c>
      <c r="P34">
        <f t="shared" si="2"/>
        <v>56</v>
      </c>
      <c r="Q34" s="6">
        <f t="shared" si="3"/>
        <v>572.32000000000005</v>
      </c>
      <c r="R34" s="6">
        <f t="shared" si="4"/>
        <v>10.425762666666667</v>
      </c>
      <c r="S34" t="str">
        <f t="shared" si="6"/>
        <v>Alerta</v>
      </c>
    </row>
    <row r="35" spans="1:19" x14ac:dyDescent="0.3">
      <c r="A35" t="s">
        <v>529</v>
      </c>
      <c r="B35" t="s">
        <v>14</v>
      </c>
      <c r="C35" s="5">
        <f>VLOOKUP(A35,Dim!A:B,2,0)</f>
        <v>9.48</v>
      </c>
      <c r="D35" s="1">
        <v>0.1061</v>
      </c>
      <c r="E35" s="1">
        <v>0.11890000000000001</v>
      </c>
      <c r="F35">
        <v>1</v>
      </c>
      <c r="G35" s="2">
        <v>76209600</v>
      </c>
      <c r="H35" s="2">
        <v>80962</v>
      </c>
      <c r="I35">
        <v>0</v>
      </c>
      <c r="J35">
        <v>0</v>
      </c>
      <c r="K35">
        <v>0</v>
      </c>
      <c r="L35" s="1">
        <v>0</v>
      </c>
      <c r="M35" s="1">
        <v>0</v>
      </c>
      <c r="N35" s="4">
        <f t="shared" si="0"/>
        <v>9.9083333333333332E-3</v>
      </c>
      <c r="O35" s="5">
        <f t="shared" si="1"/>
        <v>9.3931000000000001E-2</v>
      </c>
      <c r="P35">
        <f t="shared" si="2"/>
        <v>102</v>
      </c>
      <c r="Q35" s="6">
        <f t="shared" si="3"/>
        <v>966.96</v>
      </c>
      <c r="R35" s="6">
        <f t="shared" si="4"/>
        <v>9.5809619999999995</v>
      </c>
      <c r="S35" t="str">
        <f t="shared" si="6"/>
        <v>Alerta</v>
      </c>
    </row>
    <row r="36" spans="1:19" x14ac:dyDescent="0.3">
      <c r="A36" t="s">
        <v>55</v>
      </c>
      <c r="B36" t="s">
        <v>14</v>
      </c>
      <c r="C36" s="5">
        <f>VLOOKUP(A36,Dim!A:B,2,0)</f>
        <v>97.4</v>
      </c>
      <c r="D36" s="1">
        <v>0.12640000000000001</v>
      </c>
      <c r="E36" s="1">
        <v>0.12809999999999999</v>
      </c>
      <c r="F36">
        <v>0.93</v>
      </c>
      <c r="G36" s="2">
        <v>156138000</v>
      </c>
      <c r="H36" s="2">
        <v>87710</v>
      </c>
      <c r="I36">
        <v>21</v>
      </c>
      <c r="J36" s="3">
        <v>9036.8700000000008</v>
      </c>
      <c r="K36" s="3">
        <v>1397.12</v>
      </c>
      <c r="L36" s="1">
        <v>0.15459999999999999</v>
      </c>
      <c r="M36" s="1">
        <v>0.12529999999999999</v>
      </c>
      <c r="N36" s="4">
        <f t="shared" si="0"/>
        <v>1.0674999999999999E-2</v>
      </c>
      <c r="O36" s="5">
        <f t="shared" si="1"/>
        <v>1.0397449999999999</v>
      </c>
      <c r="P36">
        <f t="shared" si="2"/>
        <v>95</v>
      </c>
      <c r="Q36" s="6">
        <f t="shared" si="3"/>
        <v>9253</v>
      </c>
      <c r="R36" s="6">
        <f t="shared" si="4"/>
        <v>98.775774999999996</v>
      </c>
      <c r="S36" t="str">
        <f t="shared" si="6"/>
        <v>Alerta</v>
      </c>
    </row>
    <row r="37" spans="1:19" x14ac:dyDescent="0.3">
      <c r="A37" t="s">
        <v>480</v>
      </c>
      <c r="B37" t="s">
        <v>14</v>
      </c>
      <c r="C37" s="5">
        <f>VLOOKUP(A37,Dim!A:B,2,0)</f>
        <v>10.5</v>
      </c>
      <c r="D37" s="1">
        <v>8.5900000000000004E-2</v>
      </c>
      <c r="E37" s="1">
        <v>0.10349999999999999</v>
      </c>
      <c r="F37">
        <v>1.02</v>
      </c>
      <c r="G37" s="2">
        <v>21473600</v>
      </c>
      <c r="H37" s="2">
        <v>33300</v>
      </c>
      <c r="I37">
        <v>1</v>
      </c>
      <c r="J37">
        <v>0</v>
      </c>
      <c r="K37">
        <v>0</v>
      </c>
      <c r="L37" s="1">
        <v>0</v>
      </c>
      <c r="M37" s="1">
        <v>0</v>
      </c>
      <c r="N37" s="4">
        <f t="shared" si="0"/>
        <v>8.624999999999999E-3</v>
      </c>
      <c r="O37" s="5">
        <f t="shared" si="1"/>
        <v>9.056249999999999E-2</v>
      </c>
      <c r="P37">
        <f t="shared" si="2"/>
        <v>117</v>
      </c>
      <c r="Q37" s="6">
        <f t="shared" si="3"/>
        <v>1228.5</v>
      </c>
      <c r="R37" s="6">
        <f t="shared" si="4"/>
        <v>10.595812499999999</v>
      </c>
      <c r="S37" t="str">
        <f t="shared" si="6"/>
        <v>Alerta</v>
      </c>
    </row>
    <row r="38" spans="1:19" x14ac:dyDescent="0.3">
      <c r="A38" t="s">
        <v>358</v>
      </c>
      <c r="B38" t="s">
        <v>14</v>
      </c>
      <c r="C38" s="5">
        <f>VLOOKUP(A38,Dim!A:B,2,0)</f>
        <v>10.24</v>
      </c>
      <c r="D38" s="1">
        <v>0.1229</v>
      </c>
      <c r="E38" s="1">
        <v>0.12529999999999999</v>
      </c>
      <c r="F38">
        <v>1</v>
      </c>
      <c r="G38" s="2">
        <v>17003000</v>
      </c>
      <c r="H38" s="2">
        <v>6825</v>
      </c>
      <c r="I38">
        <v>0</v>
      </c>
      <c r="J38">
        <v>0</v>
      </c>
      <c r="K38">
        <v>0</v>
      </c>
      <c r="L38" s="1">
        <v>0</v>
      </c>
      <c r="M38" s="1">
        <v>0</v>
      </c>
      <c r="N38" s="4">
        <f t="shared" si="0"/>
        <v>1.0441666666666667E-2</v>
      </c>
      <c r="O38" s="5">
        <f t="shared" si="1"/>
        <v>0.10692266666666667</v>
      </c>
      <c r="P38">
        <f t="shared" si="2"/>
        <v>97</v>
      </c>
      <c r="Q38" s="6">
        <f t="shared" si="3"/>
        <v>993.28</v>
      </c>
      <c r="R38" s="6">
        <f t="shared" si="4"/>
        <v>10.371498666666666</v>
      </c>
      <c r="S38" t="str">
        <f t="shared" si="6"/>
        <v>Alerta</v>
      </c>
    </row>
    <row r="39" spans="1:19" x14ac:dyDescent="0.3">
      <c r="A39" t="s">
        <v>58</v>
      </c>
      <c r="B39" t="s">
        <v>19</v>
      </c>
      <c r="C39" s="5">
        <f>VLOOKUP(A39,Dim!A:B,2,0)</f>
        <v>84.27</v>
      </c>
      <c r="D39" s="1">
        <v>0.13400000000000001</v>
      </c>
      <c r="E39" s="1">
        <v>0.1202</v>
      </c>
      <c r="F39">
        <v>0.84</v>
      </c>
      <c r="G39" s="2">
        <v>311916000</v>
      </c>
      <c r="H39" s="2">
        <v>352370</v>
      </c>
      <c r="I39">
        <v>0</v>
      </c>
      <c r="J39">
        <v>0</v>
      </c>
      <c r="K39">
        <v>0</v>
      </c>
      <c r="L39" s="1">
        <v>0</v>
      </c>
      <c r="M39" s="1">
        <v>0</v>
      </c>
      <c r="N39" s="4">
        <f t="shared" si="0"/>
        <v>1.0016666666666667E-2</v>
      </c>
      <c r="O39" s="5">
        <f t="shared" si="1"/>
        <v>0.84410449999999992</v>
      </c>
      <c r="P39">
        <f t="shared" si="2"/>
        <v>101</v>
      </c>
      <c r="Q39" s="6">
        <f t="shared" si="3"/>
        <v>8511.27</v>
      </c>
      <c r="R39" s="6">
        <f t="shared" si="4"/>
        <v>85.254554499999998</v>
      </c>
      <c r="S39" t="str">
        <f t="shared" si="6"/>
        <v>Bom</v>
      </c>
    </row>
    <row r="40" spans="1:19" x14ac:dyDescent="0.3">
      <c r="A40" t="s">
        <v>59</v>
      </c>
      <c r="B40" t="s">
        <v>14</v>
      </c>
      <c r="C40" s="5">
        <f>VLOOKUP(A40,Dim!A:B,2,0)</f>
        <v>63.57</v>
      </c>
      <c r="D40" s="1">
        <v>0.14380000000000001</v>
      </c>
      <c r="E40" s="1">
        <v>0.15509999999999999</v>
      </c>
      <c r="F40">
        <v>0.75</v>
      </c>
      <c r="G40" s="2">
        <v>393933000</v>
      </c>
      <c r="H40" s="2">
        <v>502927</v>
      </c>
      <c r="I40">
        <v>0</v>
      </c>
      <c r="J40">
        <v>0</v>
      </c>
      <c r="K40">
        <v>0</v>
      </c>
      <c r="L40" s="1">
        <v>0</v>
      </c>
      <c r="M40" s="1">
        <v>0</v>
      </c>
      <c r="N40" s="4">
        <f t="shared" si="0"/>
        <v>1.2924999999999999E-2</v>
      </c>
      <c r="O40" s="5">
        <f t="shared" si="1"/>
        <v>0.82164224999999991</v>
      </c>
      <c r="P40">
        <f t="shared" si="2"/>
        <v>79</v>
      </c>
      <c r="Q40" s="6">
        <f t="shared" si="3"/>
        <v>5022.03</v>
      </c>
      <c r="R40" s="6">
        <f t="shared" si="4"/>
        <v>64.909737749999991</v>
      </c>
      <c r="S40" t="str">
        <f t="shared" si="6"/>
        <v>Alerta</v>
      </c>
    </row>
    <row r="41" spans="1:19" x14ac:dyDescent="0.3">
      <c r="A41" t="s">
        <v>60</v>
      </c>
      <c r="B41" t="s">
        <v>28</v>
      </c>
      <c r="C41" s="5">
        <f>VLOOKUP(A41,Dim!A:B,2,0)</f>
        <v>102.06</v>
      </c>
      <c r="D41" s="1">
        <v>3.8300000000000001E-2</v>
      </c>
      <c r="E41" s="1">
        <v>5.3900000000000003E-2</v>
      </c>
      <c r="F41">
        <v>0.87</v>
      </c>
      <c r="G41" s="2">
        <v>202958000</v>
      </c>
      <c r="H41" s="2">
        <v>63695</v>
      </c>
      <c r="I41">
        <v>1</v>
      </c>
      <c r="J41" s="3">
        <v>41018.400000000001</v>
      </c>
      <c r="K41" s="3">
        <v>1803.2</v>
      </c>
      <c r="L41" s="1">
        <v>4.3999999999999997E-2</v>
      </c>
      <c r="M41" s="1">
        <v>1.95E-2</v>
      </c>
      <c r="N41" s="4">
        <f t="shared" si="0"/>
        <v>4.4916666666666672E-3</v>
      </c>
      <c r="O41" s="5">
        <f t="shared" si="1"/>
        <v>0.45841950000000009</v>
      </c>
      <c r="P41">
        <f t="shared" si="2"/>
        <v>224</v>
      </c>
      <c r="Q41" s="6">
        <f t="shared" si="3"/>
        <v>22861.440000000002</v>
      </c>
      <c r="R41" s="6">
        <f t="shared" si="4"/>
        <v>102.68596800000002</v>
      </c>
      <c r="S41" t="str">
        <f t="shared" si="6"/>
        <v>Alerta</v>
      </c>
    </row>
    <row r="42" spans="1:19" x14ac:dyDescent="0.3">
      <c r="A42" t="s">
        <v>61</v>
      </c>
      <c r="B42" t="s">
        <v>14</v>
      </c>
      <c r="C42" s="5">
        <f>VLOOKUP(A42,Dim!A:B,2,0)</f>
        <v>888.25</v>
      </c>
      <c r="D42" s="1">
        <v>7.1199999999999999E-2</v>
      </c>
      <c r="E42" s="1">
        <v>7.0699999999999999E-2</v>
      </c>
      <c r="F42">
        <v>0.82</v>
      </c>
      <c r="G42" s="2">
        <v>119406000</v>
      </c>
      <c r="H42" s="2">
        <v>5408</v>
      </c>
      <c r="I42">
        <v>0</v>
      </c>
      <c r="J42">
        <v>0</v>
      </c>
      <c r="K42">
        <v>0</v>
      </c>
      <c r="L42" s="1">
        <v>0</v>
      </c>
      <c r="M42" s="1">
        <v>0</v>
      </c>
      <c r="N42" s="4">
        <f t="shared" si="0"/>
        <v>5.8916666666666666E-3</v>
      </c>
      <c r="O42" s="5">
        <f t="shared" si="1"/>
        <v>5.2332729166666665</v>
      </c>
      <c r="P42">
        <f t="shared" si="2"/>
        <v>171</v>
      </c>
      <c r="Q42" s="6">
        <f t="shared" si="3"/>
        <v>151890.75</v>
      </c>
      <c r="R42" s="6">
        <f t="shared" si="4"/>
        <v>894.88966874999994</v>
      </c>
      <c r="S42" t="str">
        <f t="shared" si="6"/>
        <v>Bom</v>
      </c>
    </row>
    <row r="43" spans="1:19" x14ac:dyDescent="0.3">
      <c r="A43" t="s">
        <v>149</v>
      </c>
      <c r="B43" t="s">
        <v>19</v>
      </c>
      <c r="C43" s="5">
        <f>VLOOKUP(A43,Dim!A:B,2,0)</f>
        <v>10.36</v>
      </c>
      <c r="D43" s="1">
        <v>6.1100000000000002E-2</v>
      </c>
      <c r="E43" s="1">
        <v>3.2800000000000003E-2</v>
      </c>
      <c r="F43">
        <v>0.98</v>
      </c>
      <c r="G43" s="2">
        <v>49750000</v>
      </c>
      <c r="H43" s="2">
        <v>36288</v>
      </c>
      <c r="I43">
        <v>0</v>
      </c>
      <c r="J43">
        <v>0</v>
      </c>
      <c r="K43">
        <v>0</v>
      </c>
      <c r="L43" s="1">
        <v>0</v>
      </c>
      <c r="M43" s="1">
        <v>0</v>
      </c>
      <c r="N43" s="4">
        <f t="shared" si="0"/>
        <v>2.7333333333333337E-3</v>
      </c>
      <c r="O43" s="5">
        <f t="shared" si="1"/>
        <v>2.8317333333333337E-2</v>
      </c>
      <c r="P43">
        <f t="shared" si="2"/>
        <v>367</v>
      </c>
      <c r="Q43" s="6">
        <f t="shared" si="3"/>
        <v>3802.12</v>
      </c>
      <c r="R43" s="6">
        <f t="shared" si="4"/>
        <v>10.392461333333335</v>
      </c>
      <c r="S43" t="str">
        <f t="shared" si="6"/>
        <v>Bom</v>
      </c>
    </row>
    <row r="44" spans="1:19" x14ac:dyDescent="0.3">
      <c r="A44" t="s">
        <v>194</v>
      </c>
      <c r="B44" t="s">
        <v>19</v>
      </c>
      <c r="C44" s="5">
        <f>VLOOKUP(A44,Dim!A:B,2,0)</f>
        <v>9.98</v>
      </c>
      <c r="D44" s="1">
        <v>7.9600000000000004E-2</v>
      </c>
      <c r="E44" s="1">
        <v>0.1188</v>
      </c>
      <c r="F44">
        <v>0.91</v>
      </c>
      <c r="G44" s="2">
        <v>1706770000</v>
      </c>
      <c r="H44" s="2">
        <v>5188060</v>
      </c>
      <c r="I44">
        <v>40</v>
      </c>
      <c r="J44" s="3">
        <v>1821.12</v>
      </c>
      <c r="K44">
        <v>177.85</v>
      </c>
      <c r="L44" s="1">
        <v>9.7699999999999995E-2</v>
      </c>
      <c r="M44" s="1">
        <v>0</v>
      </c>
      <c r="N44" s="4">
        <f t="shared" si="0"/>
        <v>9.9000000000000008E-3</v>
      </c>
      <c r="O44" s="5">
        <f t="shared" si="1"/>
        <v>9.8802000000000015E-2</v>
      </c>
      <c r="P44">
        <f t="shared" si="2"/>
        <v>103</v>
      </c>
      <c r="Q44" s="6">
        <f t="shared" si="3"/>
        <v>1027.94</v>
      </c>
      <c r="R44" s="6">
        <f t="shared" si="4"/>
        <v>10.176606000000001</v>
      </c>
      <c r="S44" t="str">
        <f t="shared" si="6"/>
        <v>Alerta</v>
      </c>
    </row>
    <row r="45" spans="1:19" x14ac:dyDescent="0.3">
      <c r="A45" t="s">
        <v>64</v>
      </c>
      <c r="B45" t="s">
        <v>14</v>
      </c>
      <c r="C45" s="5">
        <f>VLOOKUP(A45,Dim!A:B,2,0)</f>
        <v>1000</v>
      </c>
      <c r="D45" s="1">
        <v>-1.9900000000000001E-2</v>
      </c>
      <c r="E45" s="1">
        <v>4.6899999999999997E-2</v>
      </c>
      <c r="F45">
        <v>1.01</v>
      </c>
      <c r="G45" s="2">
        <v>110439000</v>
      </c>
      <c r="H45">
        <v>0</v>
      </c>
      <c r="I45">
        <v>2</v>
      </c>
      <c r="J45" s="3">
        <v>7843.3</v>
      </c>
      <c r="K45">
        <v>0</v>
      </c>
      <c r="L45" s="1">
        <v>0</v>
      </c>
      <c r="M45" s="1">
        <v>0</v>
      </c>
      <c r="N45" s="4">
        <f t="shared" si="0"/>
        <v>3.9083333333333331E-3</v>
      </c>
      <c r="O45" s="5">
        <f t="shared" si="1"/>
        <v>3.9083333333333332</v>
      </c>
      <c r="P45">
        <f t="shared" si="2"/>
        <v>257</v>
      </c>
      <c r="Q45" s="6">
        <f t="shared" si="3"/>
        <v>257000</v>
      </c>
      <c r="R45" s="6">
        <f t="shared" si="4"/>
        <v>1004.4416666666666</v>
      </c>
      <c r="S45" t="str">
        <f t="shared" si="6"/>
        <v>Alerta</v>
      </c>
    </row>
    <row r="46" spans="1:19" x14ac:dyDescent="0.3">
      <c r="A46" t="s">
        <v>65</v>
      </c>
      <c r="B46" t="s">
        <v>28</v>
      </c>
      <c r="C46" s="5">
        <f>VLOOKUP(A46,Dim!A:B,2,0)</f>
        <v>90.72</v>
      </c>
      <c r="D46" s="1">
        <v>6.8599999999999994E-2</v>
      </c>
      <c r="E46" s="1">
        <v>6.6699999999999995E-2</v>
      </c>
      <c r="F46">
        <v>0.74</v>
      </c>
      <c r="G46" s="2">
        <v>151392000</v>
      </c>
      <c r="H46" s="2">
        <v>134121</v>
      </c>
      <c r="I46">
        <v>1</v>
      </c>
      <c r="J46" s="3">
        <v>35823.800000000003</v>
      </c>
      <c r="K46" s="3">
        <v>2982.05</v>
      </c>
      <c r="L46" s="1">
        <v>8.3199999999999996E-2</v>
      </c>
      <c r="M46" s="1">
        <v>0</v>
      </c>
      <c r="N46" s="4">
        <f t="shared" si="0"/>
        <v>5.5583333333333327E-3</v>
      </c>
      <c r="O46" s="5">
        <f t="shared" si="1"/>
        <v>0.50425199999999992</v>
      </c>
      <c r="P46">
        <f t="shared" si="2"/>
        <v>181</v>
      </c>
      <c r="Q46" s="6">
        <f t="shared" si="3"/>
        <v>16420.32</v>
      </c>
      <c r="R46" s="6">
        <f t="shared" si="4"/>
        <v>91.269611999999981</v>
      </c>
      <c r="S46" t="str">
        <f t="shared" si="6"/>
        <v>Bom</v>
      </c>
    </row>
    <row r="47" spans="1:19" x14ac:dyDescent="0.3">
      <c r="A47" t="s">
        <v>20</v>
      </c>
      <c r="B47" t="s">
        <v>14</v>
      </c>
      <c r="C47" s="5">
        <f>VLOOKUP(A47,Dim!A:B,2,0)</f>
        <v>10.06</v>
      </c>
      <c r="D47" s="1">
        <v>0</v>
      </c>
      <c r="E47" s="1">
        <v>3.7699999999999997E-2</v>
      </c>
      <c r="F47">
        <v>0.98</v>
      </c>
      <c r="G47" s="2">
        <v>49700000</v>
      </c>
      <c r="H47" s="2">
        <v>60160</v>
      </c>
      <c r="I47">
        <v>0</v>
      </c>
      <c r="J47">
        <v>0</v>
      </c>
      <c r="K47">
        <v>0</v>
      </c>
      <c r="L47" s="1">
        <v>0</v>
      </c>
      <c r="M47" s="1">
        <v>0</v>
      </c>
      <c r="N47" s="4">
        <f t="shared" si="0"/>
        <v>3.1416666666666663E-3</v>
      </c>
      <c r="O47" s="5">
        <f t="shared" si="1"/>
        <v>3.1605166666666663E-2</v>
      </c>
      <c r="P47">
        <f t="shared" si="2"/>
        <v>320</v>
      </c>
      <c r="Q47" s="6">
        <f t="shared" si="3"/>
        <v>3219.2000000000003</v>
      </c>
      <c r="R47" s="6">
        <f t="shared" si="4"/>
        <v>10.113653333333332</v>
      </c>
      <c r="S47" t="str">
        <f t="shared" si="6"/>
        <v>Alerta</v>
      </c>
    </row>
    <row r="48" spans="1:19" x14ac:dyDescent="0.3">
      <c r="A48" t="s">
        <v>118</v>
      </c>
      <c r="B48" t="s">
        <v>16</v>
      </c>
      <c r="C48" s="5">
        <f>VLOOKUP(A48,Dim!A:B,2,0)</f>
        <v>10.28</v>
      </c>
      <c r="D48" s="1">
        <v>6.0299999999999999E-2</v>
      </c>
      <c r="E48" s="1">
        <v>0.1225</v>
      </c>
      <c r="F48">
        <v>0.85</v>
      </c>
      <c r="G48" s="2">
        <v>785043000</v>
      </c>
      <c r="H48" s="2">
        <v>3278280</v>
      </c>
      <c r="I48">
        <v>7</v>
      </c>
      <c r="J48" s="3">
        <v>1068.46</v>
      </c>
      <c r="K48">
        <v>91.91</v>
      </c>
      <c r="L48" s="1">
        <v>8.5999999999999993E-2</v>
      </c>
      <c r="M48" s="1">
        <v>0</v>
      </c>
      <c r="N48" s="4">
        <f t="shared" si="0"/>
        <v>1.0208333333333333E-2</v>
      </c>
      <c r="O48" s="5">
        <f t="shared" si="1"/>
        <v>0.10494166666666666</v>
      </c>
      <c r="P48">
        <f t="shared" si="2"/>
        <v>99</v>
      </c>
      <c r="Q48" s="6">
        <f t="shared" si="3"/>
        <v>1017.7199999999999</v>
      </c>
      <c r="R48" s="6">
        <f t="shared" si="4"/>
        <v>10.389225</v>
      </c>
      <c r="S48" t="str">
        <f t="shared" si="6"/>
        <v>Alerta</v>
      </c>
    </row>
    <row r="49" spans="1:19" x14ac:dyDescent="0.3">
      <c r="A49" t="s">
        <v>68</v>
      </c>
      <c r="B49" t="s">
        <v>19</v>
      </c>
      <c r="C49" s="5">
        <f>VLOOKUP(A49,Dim!A:B,2,0)</f>
        <v>33</v>
      </c>
      <c r="D49" s="1">
        <v>0.1095</v>
      </c>
      <c r="E49" s="1">
        <v>0.1201</v>
      </c>
      <c r="F49">
        <v>0.48</v>
      </c>
      <c r="G49" s="2">
        <v>159449000</v>
      </c>
      <c r="H49" s="2">
        <v>377168</v>
      </c>
      <c r="I49">
        <v>2</v>
      </c>
      <c r="J49">
        <v>99.08</v>
      </c>
      <c r="K49">
        <v>61.4</v>
      </c>
      <c r="L49" s="1">
        <v>0.61970000000000003</v>
      </c>
      <c r="M49" s="1">
        <v>0.9748</v>
      </c>
      <c r="N49" s="4">
        <f t="shared" si="0"/>
        <v>1.0008333333333333E-2</v>
      </c>
      <c r="O49" s="5">
        <f t="shared" si="1"/>
        <v>0.33027499999999999</v>
      </c>
      <c r="P49">
        <f t="shared" si="2"/>
        <v>101</v>
      </c>
      <c r="Q49" s="6">
        <f t="shared" si="3"/>
        <v>3333</v>
      </c>
      <c r="R49" s="6">
        <f t="shared" si="4"/>
        <v>33.357774999999997</v>
      </c>
      <c r="S49" t="str">
        <f t="shared" si="6"/>
        <v>Alerta</v>
      </c>
    </row>
    <row r="50" spans="1:19" x14ac:dyDescent="0.3">
      <c r="A50" t="s">
        <v>69</v>
      </c>
      <c r="B50" t="s">
        <v>28</v>
      </c>
      <c r="C50" s="5">
        <f>VLOOKUP(A50,Dim!A:B,2,0)</f>
        <v>88.99</v>
      </c>
      <c r="D50" s="1">
        <v>6.4000000000000001E-2</v>
      </c>
      <c r="E50" s="1">
        <v>6.7599999999999993E-2</v>
      </c>
      <c r="F50">
        <v>0.85</v>
      </c>
      <c r="G50" s="2">
        <v>88538400</v>
      </c>
      <c r="H50" s="2">
        <v>8246</v>
      </c>
      <c r="I50">
        <v>1</v>
      </c>
      <c r="J50" s="3">
        <v>10715.5</v>
      </c>
      <c r="K50">
        <v>897.24</v>
      </c>
      <c r="L50" s="1">
        <v>8.3699999999999997E-2</v>
      </c>
      <c r="M50" s="1">
        <v>0</v>
      </c>
      <c r="N50" s="4">
        <f t="shared" si="0"/>
        <v>5.6333333333333331E-3</v>
      </c>
      <c r="O50" s="5">
        <f t="shared" si="1"/>
        <v>0.5013103333333333</v>
      </c>
      <c r="P50">
        <f t="shared" si="2"/>
        <v>179</v>
      </c>
      <c r="Q50" s="6">
        <f t="shared" si="3"/>
        <v>15929.21</v>
      </c>
      <c r="R50" s="6">
        <f t="shared" si="4"/>
        <v>89.734549666666666</v>
      </c>
      <c r="S50" t="str">
        <f t="shared" si="6"/>
        <v>Alerta</v>
      </c>
    </row>
    <row r="51" spans="1:19" x14ac:dyDescent="0.3">
      <c r="A51" t="s">
        <v>156</v>
      </c>
      <c r="B51" t="s">
        <v>14</v>
      </c>
      <c r="C51" s="5">
        <f>VLOOKUP(A51,Dim!A:B,2,0)</f>
        <v>9.69</v>
      </c>
      <c r="D51" s="1">
        <v>6.5199999999999994E-2</v>
      </c>
      <c r="E51" s="1">
        <v>0.14860000000000001</v>
      </c>
      <c r="F51">
        <v>1.01</v>
      </c>
      <c r="G51" s="2">
        <v>137489000</v>
      </c>
      <c r="H51" s="2">
        <v>23634</v>
      </c>
      <c r="I51">
        <v>0</v>
      </c>
      <c r="J51">
        <v>0</v>
      </c>
      <c r="K51">
        <v>0</v>
      </c>
      <c r="L51" s="1">
        <v>0</v>
      </c>
      <c r="M51" s="1">
        <v>0</v>
      </c>
      <c r="N51" s="4">
        <f t="shared" si="0"/>
        <v>1.2383333333333335E-2</v>
      </c>
      <c r="O51" s="5">
        <f t="shared" si="1"/>
        <v>0.1199945</v>
      </c>
      <c r="P51">
        <f t="shared" si="2"/>
        <v>82</v>
      </c>
      <c r="Q51" s="6">
        <f t="shared" si="3"/>
        <v>794.57999999999993</v>
      </c>
      <c r="R51" s="6">
        <f t="shared" si="4"/>
        <v>9.8395489999999999</v>
      </c>
      <c r="S51" t="str">
        <f t="shared" si="6"/>
        <v>Alerta</v>
      </c>
    </row>
    <row r="52" spans="1:19" x14ac:dyDescent="0.3">
      <c r="A52" t="s">
        <v>334</v>
      </c>
      <c r="B52" t="s">
        <v>47</v>
      </c>
      <c r="C52" s="5">
        <f>VLOOKUP(A52,Dim!A:B,2,0)</f>
        <v>9.6300000000000008</v>
      </c>
      <c r="D52" s="1">
        <v>0.10630000000000001</v>
      </c>
      <c r="E52" s="1">
        <v>0.1186</v>
      </c>
      <c r="F52">
        <v>1.03</v>
      </c>
      <c r="G52" s="2">
        <v>4228940000</v>
      </c>
      <c r="H52" s="2">
        <v>10869900</v>
      </c>
      <c r="I52">
        <v>3</v>
      </c>
      <c r="J52" s="3">
        <v>122035</v>
      </c>
      <c r="K52">
        <v>0</v>
      </c>
      <c r="L52" s="1">
        <v>0</v>
      </c>
      <c r="M52" s="1">
        <v>0</v>
      </c>
      <c r="N52" s="4">
        <f t="shared" si="0"/>
        <v>9.8833333333333325E-3</v>
      </c>
      <c r="O52" s="5">
        <f t="shared" si="1"/>
        <v>9.5176499999999997E-2</v>
      </c>
      <c r="P52">
        <f t="shared" si="2"/>
        <v>103</v>
      </c>
      <c r="Q52" s="6">
        <f t="shared" si="3"/>
        <v>991.8900000000001</v>
      </c>
      <c r="R52" s="6">
        <f t="shared" si="4"/>
        <v>9.8031794999999988</v>
      </c>
      <c r="S52" t="str">
        <f t="shared" si="6"/>
        <v>Alerta</v>
      </c>
    </row>
    <row r="53" spans="1:19" x14ac:dyDescent="0.3">
      <c r="A53" t="s">
        <v>463</v>
      </c>
      <c r="B53" t="s">
        <v>19</v>
      </c>
      <c r="C53" s="5">
        <f>VLOOKUP(A53,Dim!A:B,2,0)</f>
        <v>9.57</v>
      </c>
      <c r="D53" s="1">
        <v>0.1273</v>
      </c>
      <c r="E53" s="1">
        <v>0.13339999999999999</v>
      </c>
      <c r="F53">
        <v>0.92</v>
      </c>
      <c r="G53" s="2">
        <v>577641000</v>
      </c>
      <c r="H53" s="2">
        <v>1838170</v>
      </c>
      <c r="I53">
        <v>3</v>
      </c>
      <c r="J53">
        <v>121</v>
      </c>
      <c r="K53">
        <v>12.16</v>
      </c>
      <c r="L53" s="1">
        <v>0.10050000000000001</v>
      </c>
      <c r="M53" s="1">
        <v>0</v>
      </c>
      <c r="N53" s="4">
        <f t="shared" si="0"/>
        <v>1.1116666666666665E-2</v>
      </c>
      <c r="O53" s="5">
        <f t="shared" si="1"/>
        <v>0.10638649999999999</v>
      </c>
      <c r="P53">
        <f t="shared" si="2"/>
        <v>91</v>
      </c>
      <c r="Q53" s="6">
        <f t="shared" si="3"/>
        <v>870.87</v>
      </c>
      <c r="R53" s="6">
        <f t="shared" si="4"/>
        <v>9.6811714999999996</v>
      </c>
      <c r="S53" t="str">
        <f t="shared" si="6"/>
        <v>Alerta</v>
      </c>
    </row>
    <row r="54" spans="1:19" x14ac:dyDescent="0.3">
      <c r="A54" t="s">
        <v>73</v>
      </c>
      <c r="B54" t="s">
        <v>14</v>
      </c>
      <c r="C54" s="5">
        <f>VLOOKUP(A54,Dim!A:B,2,0)</f>
        <v>93.45</v>
      </c>
      <c r="D54" s="1">
        <v>8.8200000000000001E-2</v>
      </c>
      <c r="E54" s="1">
        <v>8.8900000000000007E-2</v>
      </c>
      <c r="F54">
        <v>0.89</v>
      </c>
      <c r="G54" s="2">
        <v>94449100</v>
      </c>
      <c r="H54" s="2">
        <v>15751</v>
      </c>
      <c r="I54">
        <v>1</v>
      </c>
      <c r="J54" s="3">
        <v>15655.2</v>
      </c>
      <c r="K54" s="3">
        <v>1465.76</v>
      </c>
      <c r="L54" s="1">
        <v>9.3600000000000003E-2</v>
      </c>
      <c r="M54" s="1">
        <v>2.1399999999999999E-2</v>
      </c>
      <c r="N54" s="4">
        <f t="shared" si="0"/>
        <v>7.4083333333333336E-3</v>
      </c>
      <c r="O54" s="5">
        <f t="shared" si="1"/>
        <v>0.69230875000000003</v>
      </c>
      <c r="P54">
        <f t="shared" si="2"/>
        <v>136</v>
      </c>
      <c r="Q54" s="6">
        <f t="shared" si="3"/>
        <v>12709.2</v>
      </c>
      <c r="R54" s="6">
        <f t="shared" si="4"/>
        <v>94.153990000000007</v>
      </c>
      <c r="S54" t="str">
        <f t="shared" si="6"/>
        <v>Alerta</v>
      </c>
    </row>
    <row r="55" spans="1:19" x14ac:dyDescent="0.3">
      <c r="A55" t="s">
        <v>74</v>
      </c>
      <c r="B55" t="s">
        <v>25</v>
      </c>
      <c r="C55" s="5">
        <f>VLOOKUP(A55,Dim!A:B,2,0)</f>
        <v>74</v>
      </c>
      <c r="D55" s="1">
        <v>0.18909999999999999</v>
      </c>
      <c r="E55" s="1">
        <v>0.16889999999999999</v>
      </c>
      <c r="F55">
        <v>0.94</v>
      </c>
      <c r="G55" s="2">
        <v>51415000</v>
      </c>
      <c r="H55" s="2">
        <v>87506</v>
      </c>
      <c r="I55">
        <v>18</v>
      </c>
      <c r="J55" s="3">
        <v>4679.76</v>
      </c>
      <c r="K55" s="3">
        <v>1058.81</v>
      </c>
      <c r="L55" s="1">
        <v>0.2263</v>
      </c>
      <c r="M55" s="1">
        <v>4.4000000000000003E-3</v>
      </c>
      <c r="N55" s="4">
        <f t="shared" si="0"/>
        <v>1.4074999999999999E-2</v>
      </c>
      <c r="O55" s="5">
        <f t="shared" si="1"/>
        <v>1.04155</v>
      </c>
      <c r="P55">
        <f t="shared" si="2"/>
        <v>73</v>
      </c>
      <c r="Q55" s="6">
        <f t="shared" si="3"/>
        <v>5402</v>
      </c>
      <c r="R55" s="6">
        <f t="shared" si="4"/>
        <v>76.033149999999992</v>
      </c>
      <c r="S55" t="str">
        <f t="shared" si="6"/>
        <v>Bom</v>
      </c>
    </row>
    <row r="56" spans="1:19" x14ac:dyDescent="0.3">
      <c r="A56" t="s">
        <v>75</v>
      </c>
      <c r="B56" t="s">
        <v>14</v>
      </c>
      <c r="C56" s="5">
        <f>VLOOKUP(A56,Dim!A:B,2,0)</f>
        <v>54.52</v>
      </c>
      <c r="D56" s="1">
        <v>0.16270000000000001</v>
      </c>
      <c r="E56" s="1">
        <v>0.14349999999999999</v>
      </c>
      <c r="F56">
        <v>0.78</v>
      </c>
      <c r="G56" s="2">
        <v>244922000</v>
      </c>
      <c r="H56" s="2">
        <v>11379</v>
      </c>
      <c r="I56">
        <v>0</v>
      </c>
      <c r="J56">
        <v>0</v>
      </c>
      <c r="K56">
        <v>0</v>
      </c>
      <c r="L56" s="1">
        <v>0</v>
      </c>
      <c r="M56" s="1">
        <v>0</v>
      </c>
      <c r="N56" s="4">
        <f t="shared" si="0"/>
        <v>1.1958333333333333E-2</v>
      </c>
      <c r="O56" s="5">
        <f t="shared" si="1"/>
        <v>0.65196833333333337</v>
      </c>
      <c r="P56">
        <f t="shared" si="2"/>
        <v>85</v>
      </c>
      <c r="Q56" s="6">
        <f t="shared" si="3"/>
        <v>4634.2</v>
      </c>
      <c r="R56" s="6">
        <f t="shared" si="4"/>
        <v>55.417308333333338</v>
      </c>
      <c r="S56" t="str">
        <f t="shared" si="6"/>
        <v>Bom</v>
      </c>
    </row>
    <row r="57" spans="1:19" x14ac:dyDescent="0.3">
      <c r="A57" t="s">
        <v>76</v>
      </c>
      <c r="B57" t="s">
        <v>19</v>
      </c>
      <c r="C57" s="5">
        <f>VLOOKUP(A57,Dim!A:B,2,0)</f>
        <v>77.91</v>
      </c>
      <c r="D57" s="1">
        <v>0.12709999999999999</v>
      </c>
      <c r="E57" s="1">
        <v>0.15049999999999999</v>
      </c>
      <c r="F57">
        <v>0.65</v>
      </c>
      <c r="G57" s="2">
        <v>595340000</v>
      </c>
      <c r="H57" s="2">
        <v>1202950</v>
      </c>
      <c r="I57">
        <v>10</v>
      </c>
      <c r="J57" s="3">
        <v>2023.3</v>
      </c>
      <c r="K57">
        <v>327.83</v>
      </c>
      <c r="L57" s="1">
        <v>0.16200000000000001</v>
      </c>
      <c r="M57" s="1">
        <v>3.73E-2</v>
      </c>
      <c r="N57" s="4">
        <f t="shared" si="0"/>
        <v>1.2541666666666666E-2</v>
      </c>
      <c r="O57" s="5">
        <f t="shared" si="1"/>
        <v>0.97712124999999994</v>
      </c>
      <c r="P57">
        <f t="shared" si="2"/>
        <v>81</v>
      </c>
      <c r="Q57" s="6">
        <f t="shared" si="3"/>
        <v>6310.71</v>
      </c>
      <c r="R57" s="6">
        <f t="shared" si="4"/>
        <v>79.146821250000002</v>
      </c>
      <c r="S57" t="str">
        <f t="shared" si="6"/>
        <v>Alerta</v>
      </c>
    </row>
    <row r="58" spans="1:19" x14ac:dyDescent="0.3">
      <c r="A58" t="s">
        <v>468</v>
      </c>
      <c r="B58" t="s">
        <v>19</v>
      </c>
      <c r="C58" s="5">
        <f>VLOOKUP(A58,Dim!A:B,2,0)</f>
        <v>9.69</v>
      </c>
      <c r="D58" s="1">
        <v>7.4999999999999997E-2</v>
      </c>
      <c r="E58" s="1">
        <v>8.6800000000000002E-2</v>
      </c>
      <c r="F58">
        <v>0.94</v>
      </c>
      <c r="G58" s="2">
        <v>58923200</v>
      </c>
      <c r="H58" s="2">
        <v>276179</v>
      </c>
      <c r="I58">
        <v>2</v>
      </c>
      <c r="J58" s="3">
        <v>105911</v>
      </c>
      <c r="K58" s="3">
        <v>1010.62</v>
      </c>
      <c r="L58" s="1">
        <v>9.4999999999999998E-3</v>
      </c>
      <c r="M58" s="1">
        <v>0</v>
      </c>
      <c r="N58" s="4">
        <f t="shared" si="0"/>
        <v>7.2333333333333338E-3</v>
      </c>
      <c r="O58" s="5">
        <f t="shared" si="1"/>
        <v>7.0091000000000001E-2</v>
      </c>
      <c r="P58">
        <f t="shared" si="2"/>
        <v>140</v>
      </c>
      <c r="Q58" s="6">
        <f t="shared" si="3"/>
        <v>1356.6</v>
      </c>
      <c r="R58" s="6">
        <f t="shared" si="4"/>
        <v>9.8127399999999998</v>
      </c>
      <c r="S58" t="str">
        <f t="shared" si="6"/>
        <v>Alerta</v>
      </c>
    </row>
    <row r="59" spans="1:19" x14ac:dyDescent="0.3">
      <c r="A59" t="s">
        <v>78</v>
      </c>
      <c r="B59" t="s">
        <v>47</v>
      </c>
      <c r="C59" s="5">
        <f>VLOOKUP(A59,Dim!A:B,2,0)</f>
        <v>115.71</v>
      </c>
      <c r="D59" s="1">
        <v>7.4399999999999994E-2</v>
      </c>
      <c r="E59" s="1">
        <v>9.0999999999999998E-2</v>
      </c>
      <c r="F59">
        <v>0.98</v>
      </c>
      <c r="G59" s="2">
        <v>1840220000</v>
      </c>
      <c r="H59" s="2">
        <v>3650000</v>
      </c>
      <c r="I59">
        <v>12</v>
      </c>
      <c r="J59" s="3">
        <v>3655.47</v>
      </c>
      <c r="K59">
        <v>323.97000000000003</v>
      </c>
      <c r="L59" s="1">
        <v>8.8599999999999998E-2</v>
      </c>
      <c r="M59" s="1">
        <v>4.41E-2</v>
      </c>
      <c r="N59" s="4">
        <f t="shared" si="0"/>
        <v>7.5833333333333334E-3</v>
      </c>
      <c r="O59" s="5">
        <f t="shared" si="1"/>
        <v>0.87746749999999996</v>
      </c>
      <c r="P59">
        <f t="shared" si="2"/>
        <v>133</v>
      </c>
      <c r="Q59" s="6">
        <f t="shared" si="3"/>
        <v>15389.429999999998</v>
      </c>
      <c r="R59" s="6">
        <f t="shared" si="4"/>
        <v>116.7031775</v>
      </c>
      <c r="S59" t="str">
        <f t="shared" si="6"/>
        <v>Alerta</v>
      </c>
    </row>
    <row r="60" spans="1:19" x14ac:dyDescent="0.3">
      <c r="A60" t="s">
        <v>79</v>
      </c>
      <c r="B60" t="s">
        <v>19</v>
      </c>
      <c r="C60" s="5">
        <f>VLOOKUP(A60,Dim!A:B,2,0)</f>
        <v>40.69</v>
      </c>
      <c r="D60" s="1">
        <v>0.14319999999999999</v>
      </c>
      <c r="E60" s="1">
        <v>0.12989999999999999</v>
      </c>
      <c r="F60">
        <v>0.48</v>
      </c>
      <c r="G60" s="2">
        <v>1090830000</v>
      </c>
      <c r="H60" s="2">
        <v>1708020</v>
      </c>
      <c r="I60">
        <v>6</v>
      </c>
      <c r="J60" s="3">
        <v>4284.83</v>
      </c>
      <c r="K60">
        <v>675.07</v>
      </c>
      <c r="L60" s="1">
        <v>0.1575</v>
      </c>
      <c r="M60" s="1">
        <v>4.7000000000000002E-3</v>
      </c>
      <c r="N60" s="4">
        <f t="shared" si="0"/>
        <v>1.0825E-2</v>
      </c>
      <c r="O60" s="5">
        <f t="shared" si="1"/>
        <v>0.44046924999999998</v>
      </c>
      <c r="P60">
        <f t="shared" si="2"/>
        <v>94</v>
      </c>
      <c r="Q60" s="6">
        <f t="shared" si="3"/>
        <v>3824.8599999999997</v>
      </c>
      <c r="R60" s="6">
        <f t="shared" si="4"/>
        <v>41.404109499999997</v>
      </c>
      <c r="S60" t="str">
        <f t="shared" si="6"/>
        <v>Bom</v>
      </c>
    </row>
    <row r="61" spans="1:19" x14ac:dyDescent="0.3">
      <c r="A61" t="s">
        <v>201</v>
      </c>
      <c r="B61" t="s">
        <v>16</v>
      </c>
      <c r="C61" s="5">
        <f>VLOOKUP(A61,Dim!A:B,2,0)</f>
        <v>9.6300000000000008</v>
      </c>
      <c r="D61" s="1">
        <v>0</v>
      </c>
      <c r="E61" s="1">
        <v>0</v>
      </c>
      <c r="F61">
        <v>0.72</v>
      </c>
      <c r="G61" s="2">
        <v>910130000</v>
      </c>
      <c r="H61" s="2">
        <v>11257400</v>
      </c>
      <c r="I61">
        <v>0</v>
      </c>
      <c r="J61">
        <v>0</v>
      </c>
      <c r="K61">
        <v>0</v>
      </c>
      <c r="L61" s="1">
        <v>0</v>
      </c>
      <c r="M61" s="1">
        <v>0</v>
      </c>
      <c r="N61" s="4">
        <f t="shared" si="0"/>
        <v>0</v>
      </c>
      <c r="O61" s="5">
        <f t="shared" si="1"/>
        <v>0</v>
      </c>
      <c r="P61" t="e">
        <f t="shared" si="2"/>
        <v>#DIV/0!</v>
      </c>
      <c r="Q61" s="6" t="e">
        <f t="shared" si="3"/>
        <v>#DIV/0!</v>
      </c>
      <c r="R61" s="6" t="e">
        <f t="shared" si="4"/>
        <v>#DIV/0!</v>
      </c>
      <c r="S61" t="str">
        <f t="shared" si="6"/>
        <v>netro</v>
      </c>
    </row>
    <row r="62" spans="1:19" x14ac:dyDescent="0.3">
      <c r="A62" t="s">
        <v>82</v>
      </c>
      <c r="B62" t="s">
        <v>37</v>
      </c>
      <c r="C62" s="5">
        <f>VLOOKUP(A62,Dim!A:B,2,0)</f>
        <v>314.01</v>
      </c>
      <c r="D62" s="1">
        <v>-3.7400000000000003E-2</v>
      </c>
      <c r="E62" s="1">
        <v>5.2400000000000002E-2</v>
      </c>
      <c r="F62">
        <v>1.7</v>
      </c>
      <c r="G62" s="2">
        <v>49387900</v>
      </c>
      <c r="H62" s="2">
        <v>24459</v>
      </c>
      <c r="I62">
        <v>1</v>
      </c>
      <c r="J62" s="3">
        <v>188527</v>
      </c>
      <c r="K62">
        <v>0</v>
      </c>
      <c r="L62" s="1">
        <v>0</v>
      </c>
      <c r="M62" s="1">
        <v>0</v>
      </c>
      <c r="N62" s="4">
        <f t="shared" si="0"/>
        <v>4.3666666666666671E-3</v>
      </c>
      <c r="O62" s="5">
        <f t="shared" si="1"/>
        <v>1.3711770000000001</v>
      </c>
      <c r="P62">
        <f t="shared" si="2"/>
        <v>231</v>
      </c>
      <c r="Q62" s="6">
        <f t="shared" si="3"/>
        <v>72536.31</v>
      </c>
      <c r="R62" s="6">
        <f t="shared" si="4"/>
        <v>316.74188700000002</v>
      </c>
      <c r="S62" t="str">
        <f t="shared" si="6"/>
        <v>Alerta</v>
      </c>
    </row>
    <row r="63" spans="1:19" x14ac:dyDescent="0.3">
      <c r="A63" t="s">
        <v>83</v>
      </c>
      <c r="B63" t="s">
        <v>19</v>
      </c>
      <c r="C63" s="5">
        <f>VLOOKUP(A63,Dim!A:B,2,0)</f>
        <v>589.53</v>
      </c>
      <c r="D63" s="1">
        <v>-3.9199999999999999E-2</v>
      </c>
      <c r="E63" s="1">
        <v>0.2334</v>
      </c>
      <c r="F63">
        <v>1.2</v>
      </c>
      <c r="G63" s="2">
        <v>152987000</v>
      </c>
      <c r="H63" s="2">
        <v>5536</v>
      </c>
      <c r="I63">
        <v>0</v>
      </c>
      <c r="J63">
        <v>0</v>
      </c>
      <c r="K63">
        <v>0</v>
      </c>
      <c r="L63" s="1">
        <v>0</v>
      </c>
      <c r="M63" s="1">
        <v>0</v>
      </c>
      <c r="N63" s="4">
        <f t="shared" si="0"/>
        <v>1.9449999999999999E-2</v>
      </c>
      <c r="O63" s="5">
        <f t="shared" si="1"/>
        <v>11.466358499999998</v>
      </c>
      <c r="P63">
        <f t="shared" si="2"/>
        <v>53</v>
      </c>
      <c r="Q63" s="6">
        <f t="shared" si="3"/>
        <v>31245.09</v>
      </c>
      <c r="R63" s="6">
        <f t="shared" si="4"/>
        <v>607.71700049999993</v>
      </c>
      <c r="S63" t="str">
        <f t="shared" si="6"/>
        <v>Alerta</v>
      </c>
    </row>
    <row r="64" spans="1:19" x14ac:dyDescent="0.3">
      <c r="A64" t="s">
        <v>186</v>
      </c>
      <c r="B64" t="s">
        <v>14</v>
      </c>
      <c r="C64" s="5">
        <f>VLOOKUP(A64,Dim!A:B,2,0)</f>
        <v>8.4</v>
      </c>
      <c r="D64" s="1">
        <v>0.27389999999999998</v>
      </c>
      <c r="E64" s="1">
        <v>0.1321</v>
      </c>
      <c r="F64">
        <v>0.9</v>
      </c>
      <c r="G64" s="2">
        <v>182694000</v>
      </c>
      <c r="H64" s="2">
        <v>126642</v>
      </c>
      <c r="I64">
        <v>0</v>
      </c>
      <c r="J64">
        <v>0</v>
      </c>
      <c r="K64">
        <v>0</v>
      </c>
      <c r="L64" s="1">
        <v>0</v>
      </c>
      <c r="M64" s="1">
        <v>0</v>
      </c>
      <c r="N64" s="4">
        <f t="shared" si="0"/>
        <v>1.1008333333333334E-2</v>
      </c>
      <c r="O64" s="5">
        <f t="shared" si="1"/>
        <v>9.2470000000000011E-2</v>
      </c>
      <c r="P64">
        <f t="shared" si="2"/>
        <v>92</v>
      </c>
      <c r="Q64" s="6">
        <f t="shared" si="3"/>
        <v>772.80000000000007</v>
      </c>
      <c r="R64" s="6">
        <f t="shared" si="4"/>
        <v>8.5072400000000012</v>
      </c>
      <c r="S64" t="str">
        <f t="shared" si="6"/>
        <v>Bom</v>
      </c>
    </row>
    <row r="65" spans="1:19" x14ac:dyDescent="0.3">
      <c r="A65" t="s">
        <v>85</v>
      </c>
      <c r="B65" t="s">
        <v>19</v>
      </c>
      <c r="C65" s="5">
        <f>VLOOKUP(A65,Dim!A:B,2,0)</f>
        <v>52.45</v>
      </c>
      <c r="D65" s="1">
        <v>0.12230000000000001</v>
      </c>
      <c r="E65" s="1">
        <v>0.1211</v>
      </c>
      <c r="F65">
        <v>0.48</v>
      </c>
      <c r="G65" s="2">
        <v>609103000</v>
      </c>
      <c r="H65" s="2">
        <v>410542</v>
      </c>
      <c r="I65">
        <v>2</v>
      </c>
      <c r="J65" s="3">
        <v>6311.78</v>
      </c>
      <c r="K65" s="3">
        <v>1035.33</v>
      </c>
      <c r="L65" s="1">
        <v>0.16400000000000001</v>
      </c>
      <c r="M65" s="1">
        <v>8.2600000000000007E-2</v>
      </c>
      <c r="N65" s="4">
        <f t="shared" si="0"/>
        <v>1.0091666666666667E-2</v>
      </c>
      <c r="O65" s="5">
        <f t="shared" si="1"/>
        <v>0.52930791666666677</v>
      </c>
      <c r="P65">
        <f t="shared" si="2"/>
        <v>101</v>
      </c>
      <c r="Q65" s="6">
        <f t="shared" si="3"/>
        <v>5297.4500000000007</v>
      </c>
      <c r="R65" s="6">
        <f t="shared" si="4"/>
        <v>53.460099583333346</v>
      </c>
      <c r="S65" t="str">
        <f t="shared" si="6"/>
        <v>Bom</v>
      </c>
    </row>
    <row r="66" spans="1:19" x14ac:dyDescent="0.3">
      <c r="A66" t="s">
        <v>86</v>
      </c>
      <c r="B66" t="s">
        <v>47</v>
      </c>
      <c r="C66" s="5">
        <f>VLOOKUP(A66,Dim!A:B,2,0)</f>
        <v>76.27</v>
      </c>
      <c r="D66" s="1">
        <v>0.13919999999999999</v>
      </c>
      <c r="E66" s="1">
        <v>0.12970000000000001</v>
      </c>
      <c r="F66">
        <v>0.7</v>
      </c>
      <c r="G66" s="2">
        <v>485678000</v>
      </c>
      <c r="H66" s="2">
        <v>502131</v>
      </c>
      <c r="I66">
        <v>9</v>
      </c>
      <c r="J66" s="3">
        <v>1316.44</v>
      </c>
      <c r="K66">
        <v>181.86</v>
      </c>
      <c r="L66" s="1">
        <v>0.1381</v>
      </c>
      <c r="M66" s="1">
        <v>0</v>
      </c>
      <c r="N66" s="4">
        <f t="shared" ref="N66:N129" si="7">E66/12</f>
        <v>1.0808333333333335E-2</v>
      </c>
      <c r="O66" s="5">
        <f t="shared" ref="O66:O129" si="8">N66*C66</f>
        <v>0.82435158333333336</v>
      </c>
      <c r="P66">
        <f t="shared" ref="P66:P129" si="9">ROUNDUP((C66/O66),0)+1</f>
        <v>94</v>
      </c>
      <c r="Q66" s="6">
        <f t="shared" ref="Q66:Q129" si="10">P66*C66</f>
        <v>7169.3799999999992</v>
      </c>
      <c r="R66" s="6">
        <f t="shared" ref="R66:R129" si="11">P66*O66</f>
        <v>77.489048833333342</v>
      </c>
      <c r="S66" t="str">
        <f t="shared" si="6"/>
        <v>Bom</v>
      </c>
    </row>
    <row r="67" spans="1:19" x14ac:dyDescent="0.3">
      <c r="A67" t="s">
        <v>71</v>
      </c>
      <c r="B67" t="s">
        <v>19</v>
      </c>
      <c r="C67" s="5">
        <f>VLOOKUP(A67,Dim!A:B,2,0)</f>
        <v>9.4700000000000006</v>
      </c>
      <c r="D67" s="1">
        <v>3.4299999999999997E-2</v>
      </c>
      <c r="E67" s="1">
        <v>5.1900000000000002E-2</v>
      </c>
      <c r="F67">
        <v>0.84</v>
      </c>
      <c r="G67" s="2">
        <v>290413000</v>
      </c>
      <c r="H67">
        <v>187</v>
      </c>
      <c r="I67">
        <v>6</v>
      </c>
      <c r="J67" s="3">
        <v>2260.65</v>
      </c>
      <c r="K67">
        <v>142.96</v>
      </c>
      <c r="L67" s="1">
        <v>6.3200000000000006E-2</v>
      </c>
      <c r="M67" s="1">
        <v>0.128</v>
      </c>
      <c r="N67" s="4">
        <f t="shared" si="7"/>
        <v>4.3249999999999999E-3</v>
      </c>
      <c r="O67" s="5">
        <f t="shared" si="8"/>
        <v>4.0957750000000001E-2</v>
      </c>
      <c r="P67">
        <f t="shared" si="9"/>
        <v>233</v>
      </c>
      <c r="Q67" s="6">
        <f t="shared" si="10"/>
        <v>2206.5100000000002</v>
      </c>
      <c r="R67" s="6">
        <f t="shared" si="11"/>
        <v>9.5431557500000004</v>
      </c>
      <c r="S67" t="str">
        <f t="shared" si="6"/>
        <v>Alerta</v>
      </c>
    </row>
    <row r="68" spans="1:19" x14ac:dyDescent="0.3">
      <c r="A68" t="s">
        <v>510</v>
      </c>
      <c r="B68" t="s">
        <v>14</v>
      </c>
      <c r="C68" s="5">
        <f>VLOOKUP(A68,Dim!A:B,2,0)</f>
        <v>9.4</v>
      </c>
      <c r="D68" s="1">
        <v>0.1346</v>
      </c>
      <c r="E68" s="1">
        <v>0.14949999999999999</v>
      </c>
      <c r="F68">
        <v>0.96</v>
      </c>
      <c r="G68" s="2">
        <v>1377740000</v>
      </c>
      <c r="H68" s="2">
        <v>5243740</v>
      </c>
      <c r="I68">
        <v>0</v>
      </c>
      <c r="J68">
        <v>0</v>
      </c>
      <c r="K68">
        <v>0</v>
      </c>
      <c r="L68" s="1">
        <v>0</v>
      </c>
      <c r="M68" s="1">
        <v>0</v>
      </c>
      <c r="N68" s="4">
        <f t="shared" si="7"/>
        <v>1.2458333333333333E-2</v>
      </c>
      <c r="O68" s="5">
        <f t="shared" si="8"/>
        <v>0.11710833333333334</v>
      </c>
      <c r="P68">
        <f t="shared" si="9"/>
        <v>82</v>
      </c>
      <c r="Q68" s="6">
        <f t="shared" si="10"/>
        <v>770.80000000000007</v>
      </c>
      <c r="R68" s="6">
        <f t="shared" si="11"/>
        <v>9.6028833333333345</v>
      </c>
      <c r="S68" t="str">
        <f t="shared" si="6"/>
        <v>Alerta</v>
      </c>
    </row>
    <row r="69" spans="1:19" x14ac:dyDescent="0.3">
      <c r="A69" t="s">
        <v>412</v>
      </c>
      <c r="B69" t="s">
        <v>25</v>
      </c>
      <c r="C69" s="5">
        <f>VLOOKUP(A69,Dim!A:B,2,0)</f>
        <v>9.61</v>
      </c>
      <c r="D69" s="1">
        <v>8.1699999999999995E-2</v>
      </c>
      <c r="E69" s="1">
        <v>0.1147</v>
      </c>
      <c r="F69">
        <v>0.89</v>
      </c>
      <c r="G69" s="2">
        <v>1467740000</v>
      </c>
      <c r="H69" s="2">
        <v>2229860</v>
      </c>
      <c r="I69">
        <v>82</v>
      </c>
      <c r="J69" s="3">
        <v>5814.17</v>
      </c>
      <c r="K69">
        <v>655.15</v>
      </c>
      <c r="L69" s="1">
        <v>0.11269999999999999</v>
      </c>
      <c r="M69" s="1">
        <v>6.4699999999999994E-2</v>
      </c>
      <c r="N69" s="4">
        <f t="shared" si="7"/>
        <v>9.5583333333333336E-3</v>
      </c>
      <c r="O69" s="5">
        <f t="shared" si="8"/>
        <v>9.1855583333333324E-2</v>
      </c>
      <c r="P69">
        <f t="shared" si="9"/>
        <v>106</v>
      </c>
      <c r="Q69" s="6">
        <f t="shared" si="10"/>
        <v>1018.66</v>
      </c>
      <c r="R69" s="6">
        <f t="shared" si="11"/>
        <v>9.7366918333333317</v>
      </c>
      <c r="S69" t="str">
        <f t="shared" ref="S69:S132" si="12">IF(D69&gt;E69,"Bom",IF(D69=E69,"netro","Alerta"))</f>
        <v>Alerta</v>
      </c>
    </row>
    <row r="70" spans="1:19" x14ac:dyDescent="0.3">
      <c r="A70" t="s">
        <v>90</v>
      </c>
      <c r="B70" t="s">
        <v>91</v>
      </c>
      <c r="C70" s="5">
        <f>VLOOKUP(A70,Dim!A:B,2,0)</f>
        <v>41.75</v>
      </c>
      <c r="D70" s="1">
        <v>0.1066</v>
      </c>
      <c r="E70" s="1">
        <v>0.1123</v>
      </c>
      <c r="F70">
        <v>0.61</v>
      </c>
      <c r="G70" s="2">
        <v>382568000</v>
      </c>
      <c r="H70" s="2">
        <v>36511</v>
      </c>
      <c r="I70">
        <v>14</v>
      </c>
      <c r="J70" s="3">
        <v>6730.72</v>
      </c>
      <c r="K70">
        <v>764.51</v>
      </c>
      <c r="L70" s="1">
        <v>0.11360000000000001</v>
      </c>
      <c r="M70" s="1">
        <v>0</v>
      </c>
      <c r="N70" s="4">
        <f t="shared" si="7"/>
        <v>9.3583333333333331E-3</v>
      </c>
      <c r="O70" s="5">
        <f t="shared" si="8"/>
        <v>0.39071041666666667</v>
      </c>
      <c r="P70">
        <f t="shared" si="9"/>
        <v>108</v>
      </c>
      <c r="Q70" s="6">
        <f t="shared" si="10"/>
        <v>4509</v>
      </c>
      <c r="R70" s="6">
        <f t="shared" si="11"/>
        <v>42.196725000000001</v>
      </c>
      <c r="S70" t="str">
        <f t="shared" si="12"/>
        <v>Alerta</v>
      </c>
    </row>
    <row r="71" spans="1:19" x14ac:dyDescent="0.3">
      <c r="A71" t="s">
        <v>92</v>
      </c>
      <c r="B71" t="s">
        <v>14</v>
      </c>
      <c r="C71" s="5">
        <f>VLOOKUP(A71,Dim!A:B,2,0)</f>
        <v>103.27</v>
      </c>
      <c r="D71" s="1">
        <v>8.6400000000000005E-2</v>
      </c>
      <c r="E71" s="1">
        <v>9.0700000000000003E-2</v>
      </c>
      <c r="F71">
        <v>1</v>
      </c>
      <c r="G71" s="2">
        <v>4602860000</v>
      </c>
      <c r="H71" s="2">
        <v>7935640</v>
      </c>
      <c r="I71">
        <v>20</v>
      </c>
      <c r="J71" s="3">
        <v>4341.03</v>
      </c>
      <c r="K71">
        <v>293.79000000000002</v>
      </c>
      <c r="L71" s="1">
        <v>6.7699999999999996E-2</v>
      </c>
      <c r="M71" s="1">
        <v>1.15E-2</v>
      </c>
      <c r="N71" s="4">
        <f t="shared" si="7"/>
        <v>7.5583333333333336E-3</v>
      </c>
      <c r="O71" s="5">
        <f t="shared" si="8"/>
        <v>0.78054908333333328</v>
      </c>
      <c r="P71">
        <f t="shared" si="9"/>
        <v>134</v>
      </c>
      <c r="Q71" s="6">
        <f t="shared" si="10"/>
        <v>13838.18</v>
      </c>
      <c r="R71" s="6">
        <f t="shared" si="11"/>
        <v>104.59357716666666</v>
      </c>
      <c r="S71" t="str">
        <f t="shared" si="12"/>
        <v>Alerta</v>
      </c>
    </row>
    <row r="72" spans="1:19" x14ac:dyDescent="0.3">
      <c r="A72" t="s">
        <v>93</v>
      </c>
      <c r="B72" t="s">
        <v>16</v>
      </c>
      <c r="C72" s="5">
        <f>VLOOKUP(A72,Dim!A:B,2,0)</f>
        <v>111.28</v>
      </c>
      <c r="D72" s="1">
        <v>9.0499999999999997E-2</v>
      </c>
      <c r="E72" s="1">
        <v>0.104</v>
      </c>
      <c r="F72">
        <v>0.87</v>
      </c>
      <c r="G72" s="2">
        <v>126206000</v>
      </c>
      <c r="H72">
        <v>0</v>
      </c>
      <c r="I72">
        <v>2</v>
      </c>
      <c r="J72" s="3">
        <v>22533.1</v>
      </c>
      <c r="K72" s="3">
        <v>2168.7800000000002</v>
      </c>
      <c r="L72" s="1">
        <v>9.6199999999999994E-2</v>
      </c>
      <c r="M72" s="1">
        <v>9.7000000000000003E-2</v>
      </c>
      <c r="N72" s="4">
        <f t="shared" si="7"/>
        <v>8.6666666666666663E-3</v>
      </c>
      <c r="O72" s="5">
        <f t="shared" si="8"/>
        <v>0.96442666666666665</v>
      </c>
      <c r="P72">
        <f t="shared" si="9"/>
        <v>117</v>
      </c>
      <c r="Q72" s="6">
        <f t="shared" si="10"/>
        <v>13019.76</v>
      </c>
      <c r="R72" s="6">
        <f t="shared" si="11"/>
        <v>112.83792</v>
      </c>
      <c r="S72" t="str">
        <f t="shared" si="12"/>
        <v>Alerta</v>
      </c>
    </row>
    <row r="73" spans="1:19" x14ac:dyDescent="0.3">
      <c r="A73" t="s">
        <v>94</v>
      </c>
      <c r="B73" t="s">
        <v>14</v>
      </c>
      <c r="C73" s="5">
        <f>VLOOKUP(A73,Dim!A:B,2,0)</f>
        <v>60.78</v>
      </c>
      <c r="D73" s="1">
        <v>6.2700000000000006E-2</v>
      </c>
      <c r="E73" s="1">
        <v>7.7700000000000005E-2</v>
      </c>
      <c r="F73">
        <v>0.52</v>
      </c>
      <c r="G73" s="2">
        <v>195212000</v>
      </c>
      <c r="H73" s="2">
        <v>185225</v>
      </c>
      <c r="I73">
        <v>6</v>
      </c>
      <c r="J73">
        <v>1.33</v>
      </c>
      <c r="K73">
        <v>0.16</v>
      </c>
      <c r="L73" s="1">
        <v>0.1191</v>
      </c>
      <c r="M73" s="1">
        <v>0.3034</v>
      </c>
      <c r="N73" s="4">
        <f t="shared" si="7"/>
        <v>6.4750000000000007E-3</v>
      </c>
      <c r="O73" s="5">
        <f t="shared" si="8"/>
        <v>0.39355050000000003</v>
      </c>
      <c r="P73">
        <f t="shared" si="9"/>
        <v>156</v>
      </c>
      <c r="Q73" s="6">
        <f t="shared" si="10"/>
        <v>9481.68</v>
      </c>
      <c r="R73" s="6">
        <f t="shared" si="11"/>
        <v>61.393878000000001</v>
      </c>
      <c r="S73" t="str">
        <f t="shared" si="12"/>
        <v>Alerta</v>
      </c>
    </row>
    <row r="74" spans="1:19" x14ac:dyDescent="0.3">
      <c r="A74" t="s">
        <v>95</v>
      </c>
      <c r="B74" t="s">
        <v>47</v>
      </c>
      <c r="C74" s="5">
        <f>VLOOKUP(A74,Dim!A:B,2,0)</f>
        <v>146.94999999999999</v>
      </c>
      <c r="D74" s="1">
        <v>7.5700000000000003E-2</v>
      </c>
      <c r="E74" s="1">
        <v>7.51E-2</v>
      </c>
      <c r="F74">
        <v>0.99</v>
      </c>
      <c r="G74" s="2">
        <v>116989000</v>
      </c>
      <c r="H74">
        <v>7</v>
      </c>
      <c r="I74">
        <v>1</v>
      </c>
      <c r="J74" s="3">
        <v>6199.49</v>
      </c>
      <c r="K74">
        <v>508.95</v>
      </c>
      <c r="L74" s="1">
        <v>8.2100000000000006E-2</v>
      </c>
      <c r="M74" s="1">
        <v>0</v>
      </c>
      <c r="N74" s="4">
        <f t="shared" si="7"/>
        <v>6.2583333333333336E-3</v>
      </c>
      <c r="O74" s="5">
        <f t="shared" si="8"/>
        <v>0.91966208333333332</v>
      </c>
      <c r="P74">
        <f t="shared" si="9"/>
        <v>161</v>
      </c>
      <c r="Q74" s="6">
        <f t="shared" si="10"/>
        <v>23658.949999999997</v>
      </c>
      <c r="R74" s="6">
        <f t="shared" si="11"/>
        <v>148.06559541666667</v>
      </c>
      <c r="S74" t="str">
        <f t="shared" si="12"/>
        <v>Bom</v>
      </c>
    </row>
    <row r="75" spans="1:19" x14ac:dyDescent="0.3">
      <c r="A75" t="s">
        <v>96</v>
      </c>
      <c r="B75" t="s">
        <v>19</v>
      </c>
      <c r="C75" s="5">
        <f>VLOOKUP(A75,Dim!A:B,2,0)</f>
        <v>109.53</v>
      </c>
      <c r="D75" s="1">
        <v>4.8300000000000003E-2</v>
      </c>
      <c r="E75" s="1">
        <v>8.5199999999999998E-2</v>
      </c>
      <c r="F75">
        <v>0.94</v>
      </c>
      <c r="G75" s="2">
        <v>645245000</v>
      </c>
      <c r="H75">
        <v>2</v>
      </c>
      <c r="I75">
        <v>6</v>
      </c>
      <c r="J75" s="3">
        <v>1245.8800000000001</v>
      </c>
      <c r="K75">
        <v>80.739999999999995</v>
      </c>
      <c r="L75" s="1">
        <v>6.4799999999999996E-2</v>
      </c>
      <c r="M75" s="1">
        <v>0</v>
      </c>
      <c r="N75" s="4">
        <f t="shared" si="7"/>
        <v>7.0999999999999995E-3</v>
      </c>
      <c r="O75" s="5">
        <f t="shared" si="8"/>
        <v>0.77766299999999999</v>
      </c>
      <c r="P75">
        <f t="shared" si="9"/>
        <v>142</v>
      </c>
      <c r="Q75" s="6">
        <f t="shared" si="10"/>
        <v>15553.26</v>
      </c>
      <c r="R75" s="6">
        <f t="shared" si="11"/>
        <v>110.428146</v>
      </c>
      <c r="S75" t="str">
        <f t="shared" si="12"/>
        <v>Alerta</v>
      </c>
    </row>
    <row r="76" spans="1:19" x14ac:dyDescent="0.3">
      <c r="A76" t="s">
        <v>97</v>
      </c>
      <c r="B76" t="s">
        <v>28</v>
      </c>
      <c r="C76" s="5">
        <f>VLOOKUP(A76,Dim!A:B,2,0)</f>
        <v>105.49</v>
      </c>
      <c r="D76" s="1">
        <v>7.0699999999999999E-2</v>
      </c>
      <c r="E76" s="1">
        <v>7.2300000000000003E-2</v>
      </c>
      <c r="F76">
        <v>0.87</v>
      </c>
      <c r="G76" s="2">
        <v>83532800</v>
      </c>
      <c r="H76">
        <v>0</v>
      </c>
      <c r="I76">
        <v>1</v>
      </c>
      <c r="J76" s="3">
        <v>4159.09</v>
      </c>
      <c r="K76">
        <v>445.84</v>
      </c>
      <c r="L76" s="1">
        <v>0.1072</v>
      </c>
      <c r="M76" s="1">
        <v>0.08</v>
      </c>
      <c r="N76" s="4">
        <f t="shared" si="7"/>
        <v>6.025E-3</v>
      </c>
      <c r="O76" s="5">
        <f t="shared" si="8"/>
        <v>0.63557724999999998</v>
      </c>
      <c r="P76">
        <f t="shared" si="9"/>
        <v>167</v>
      </c>
      <c r="Q76" s="6">
        <f t="shared" si="10"/>
        <v>17616.829999999998</v>
      </c>
      <c r="R76" s="6">
        <f t="shared" si="11"/>
        <v>106.14140075</v>
      </c>
      <c r="S76" t="str">
        <f t="shared" si="12"/>
        <v>Alerta</v>
      </c>
    </row>
    <row r="77" spans="1:19" x14ac:dyDescent="0.3">
      <c r="A77" t="s">
        <v>470</v>
      </c>
      <c r="B77" t="s">
        <v>14</v>
      </c>
      <c r="C77" s="5">
        <f>VLOOKUP(A77,Dim!A:B,2,0)</f>
        <v>9.26</v>
      </c>
      <c r="D77" s="1">
        <v>0.1239</v>
      </c>
      <c r="E77" s="1">
        <v>0.1416</v>
      </c>
      <c r="F77">
        <v>0.97</v>
      </c>
      <c r="G77" s="2">
        <v>69583100</v>
      </c>
      <c r="H77" s="2">
        <v>49844</v>
      </c>
      <c r="I77">
        <v>0</v>
      </c>
      <c r="J77">
        <v>0</v>
      </c>
      <c r="K77">
        <v>0</v>
      </c>
      <c r="L77" s="1">
        <v>0</v>
      </c>
      <c r="M77" s="1">
        <v>0</v>
      </c>
      <c r="N77" s="4">
        <f t="shared" si="7"/>
        <v>1.18E-2</v>
      </c>
      <c r="O77" s="5">
        <f t="shared" si="8"/>
        <v>0.10926799999999999</v>
      </c>
      <c r="P77">
        <f t="shared" si="9"/>
        <v>86</v>
      </c>
      <c r="Q77" s="6">
        <f t="shared" si="10"/>
        <v>796.36</v>
      </c>
      <c r="R77" s="6">
        <f t="shared" si="11"/>
        <v>9.3970479999999998</v>
      </c>
      <c r="S77" t="str">
        <f t="shared" si="12"/>
        <v>Alerta</v>
      </c>
    </row>
    <row r="78" spans="1:19" x14ac:dyDescent="0.3">
      <c r="A78" t="s">
        <v>99</v>
      </c>
      <c r="B78" t="s">
        <v>25</v>
      </c>
      <c r="C78" s="5">
        <f>VLOOKUP(A78,Dim!A:B,2,0)</f>
        <v>1170.21</v>
      </c>
      <c r="D78" s="1">
        <v>4.24E-2</v>
      </c>
      <c r="E78" s="1">
        <v>5.6899999999999999E-2</v>
      </c>
      <c r="F78">
        <v>1.52</v>
      </c>
      <c r="G78" s="2">
        <v>732013000</v>
      </c>
      <c r="H78">
        <v>78</v>
      </c>
      <c r="I78">
        <v>46</v>
      </c>
      <c r="J78" s="3">
        <v>5183.01</v>
      </c>
      <c r="K78">
        <v>347.9</v>
      </c>
      <c r="L78" s="1">
        <v>6.7100000000000007E-2</v>
      </c>
      <c r="M78" s="1">
        <v>0.2011</v>
      </c>
      <c r="N78" s="4">
        <f t="shared" si="7"/>
        <v>4.7416666666666666E-3</v>
      </c>
      <c r="O78" s="5">
        <f t="shared" si="8"/>
        <v>5.5487457500000001</v>
      </c>
      <c r="P78">
        <f t="shared" si="9"/>
        <v>212</v>
      </c>
      <c r="Q78" s="6">
        <f t="shared" si="10"/>
        <v>248084.52000000002</v>
      </c>
      <c r="R78" s="6">
        <f t="shared" si="11"/>
        <v>1176.3340989999999</v>
      </c>
      <c r="S78" t="str">
        <f t="shared" si="12"/>
        <v>Alerta</v>
      </c>
    </row>
    <row r="79" spans="1:19" x14ac:dyDescent="0.3">
      <c r="A79" t="s">
        <v>100</v>
      </c>
      <c r="B79" t="s">
        <v>19</v>
      </c>
      <c r="C79" s="5">
        <f>VLOOKUP(A79,Dim!A:B,2,0)</f>
        <v>76.900000000000006</v>
      </c>
      <c r="D79" s="1">
        <v>0.221</v>
      </c>
      <c r="E79" s="1">
        <v>0.21790000000000001</v>
      </c>
      <c r="F79">
        <v>0.95</v>
      </c>
      <c r="G79" s="2">
        <v>353439000</v>
      </c>
      <c r="H79" s="2">
        <v>4266270</v>
      </c>
      <c r="I79">
        <v>0</v>
      </c>
      <c r="J79">
        <v>0</v>
      </c>
      <c r="K79">
        <v>0</v>
      </c>
      <c r="L79" s="1">
        <v>0</v>
      </c>
      <c r="M79" s="1">
        <v>0</v>
      </c>
      <c r="N79" s="4">
        <f t="shared" si="7"/>
        <v>1.8158333333333335E-2</v>
      </c>
      <c r="O79" s="5">
        <f t="shared" si="8"/>
        <v>1.3963758333333336</v>
      </c>
      <c r="P79">
        <f t="shared" si="9"/>
        <v>57</v>
      </c>
      <c r="Q79" s="6">
        <f t="shared" si="10"/>
        <v>4383.3</v>
      </c>
      <c r="R79" s="6">
        <f t="shared" si="11"/>
        <v>79.593422500000017</v>
      </c>
      <c r="S79" t="str">
        <f t="shared" si="12"/>
        <v>Bom</v>
      </c>
    </row>
    <row r="80" spans="1:19" x14ac:dyDescent="0.3">
      <c r="A80" t="s">
        <v>438</v>
      </c>
      <c r="B80" t="s">
        <v>23</v>
      </c>
      <c r="C80" s="5">
        <f>VLOOKUP(A80,Dim!A:B,2,0)</f>
        <v>9.1</v>
      </c>
      <c r="D80" s="1">
        <v>0.1835</v>
      </c>
      <c r="E80" s="1">
        <v>0.1108</v>
      </c>
      <c r="F80">
        <v>0.94</v>
      </c>
      <c r="G80" s="2">
        <v>617807000</v>
      </c>
      <c r="H80" s="2">
        <v>1313200</v>
      </c>
      <c r="I80">
        <v>0</v>
      </c>
      <c r="J80">
        <v>0</v>
      </c>
      <c r="K80">
        <v>0</v>
      </c>
      <c r="L80" s="1">
        <v>0</v>
      </c>
      <c r="M80" s="1">
        <v>0</v>
      </c>
      <c r="N80" s="4">
        <f t="shared" si="7"/>
        <v>9.233333333333333E-3</v>
      </c>
      <c r="O80" s="5">
        <f t="shared" si="8"/>
        <v>8.4023333333333325E-2</v>
      </c>
      <c r="P80">
        <f t="shared" si="9"/>
        <v>110</v>
      </c>
      <c r="Q80" s="6">
        <f t="shared" si="10"/>
        <v>1001</v>
      </c>
      <c r="R80" s="6">
        <f t="shared" si="11"/>
        <v>9.242566666666665</v>
      </c>
      <c r="S80" t="str">
        <f t="shared" si="12"/>
        <v>Bom</v>
      </c>
    </row>
    <row r="81" spans="1:19" x14ac:dyDescent="0.3">
      <c r="A81" t="s">
        <v>540</v>
      </c>
      <c r="B81" t="s">
        <v>28</v>
      </c>
      <c r="C81" s="5">
        <f>VLOOKUP(A81,Dim!A:B,2,0)</f>
        <v>8.77</v>
      </c>
      <c r="D81" s="1">
        <v>-8.9099999999999999E-2</v>
      </c>
      <c r="E81" s="1">
        <v>0</v>
      </c>
      <c r="F81">
        <v>0.32</v>
      </c>
      <c r="G81" s="2">
        <v>22503800</v>
      </c>
      <c r="H81" s="2">
        <v>30355</v>
      </c>
      <c r="I81">
        <v>1</v>
      </c>
      <c r="J81" s="3">
        <v>1157.1400000000001</v>
      </c>
      <c r="K81">
        <v>27.97</v>
      </c>
      <c r="L81" s="1">
        <v>2.4199999999999999E-2</v>
      </c>
      <c r="M81" s="1">
        <v>0.56720000000000004</v>
      </c>
      <c r="N81" s="4">
        <f t="shared" si="7"/>
        <v>0</v>
      </c>
      <c r="O81" s="5">
        <f t="shared" si="8"/>
        <v>0</v>
      </c>
      <c r="P81" t="e">
        <f t="shared" si="9"/>
        <v>#DIV/0!</v>
      </c>
      <c r="Q81" s="6" t="e">
        <f t="shared" si="10"/>
        <v>#DIV/0!</v>
      </c>
      <c r="R81" s="6" t="e">
        <f t="shared" si="11"/>
        <v>#DIV/0!</v>
      </c>
      <c r="S81" t="str">
        <f t="shared" si="12"/>
        <v>Alerta</v>
      </c>
    </row>
    <row r="82" spans="1:19" x14ac:dyDescent="0.3">
      <c r="A82" t="s">
        <v>551</v>
      </c>
      <c r="B82" t="s">
        <v>14</v>
      </c>
      <c r="C82" s="5">
        <f>VLOOKUP(A82,Dim!A:B,2,0)</f>
        <v>9.49</v>
      </c>
      <c r="D82" s="1">
        <v>0.14449999999999999</v>
      </c>
      <c r="E82" s="1">
        <v>0.1648</v>
      </c>
      <c r="F82">
        <v>0.92</v>
      </c>
      <c r="G82" s="2">
        <v>33352300</v>
      </c>
      <c r="H82" s="2">
        <v>8294</v>
      </c>
      <c r="I82">
        <v>0</v>
      </c>
      <c r="J82">
        <v>0</v>
      </c>
      <c r="K82">
        <v>0</v>
      </c>
      <c r="L82" s="1">
        <v>0</v>
      </c>
      <c r="M82" s="1">
        <v>0</v>
      </c>
      <c r="N82" s="4">
        <f t="shared" si="7"/>
        <v>1.3733333333333334E-2</v>
      </c>
      <c r="O82" s="5">
        <f t="shared" si="8"/>
        <v>0.13032933333333332</v>
      </c>
      <c r="P82">
        <f t="shared" si="9"/>
        <v>74</v>
      </c>
      <c r="Q82" s="6">
        <f t="shared" si="10"/>
        <v>702.26</v>
      </c>
      <c r="R82" s="6">
        <f t="shared" si="11"/>
        <v>9.6443706666666653</v>
      </c>
      <c r="S82" t="str">
        <f t="shared" si="12"/>
        <v>Alerta</v>
      </c>
    </row>
    <row r="83" spans="1:19" x14ac:dyDescent="0.3">
      <c r="A83" t="s">
        <v>178</v>
      </c>
      <c r="B83" t="s">
        <v>14</v>
      </c>
      <c r="C83" s="5">
        <f>VLOOKUP(A83,Dim!A:B,2,0)</f>
        <v>9</v>
      </c>
      <c r="D83" s="1">
        <v>0.18049999999999999</v>
      </c>
      <c r="E83" s="1">
        <v>0.1472</v>
      </c>
      <c r="F83">
        <v>0.85</v>
      </c>
      <c r="G83" s="2">
        <v>40362600</v>
      </c>
      <c r="H83" s="2">
        <v>76178</v>
      </c>
      <c r="I83">
        <v>0</v>
      </c>
      <c r="J83">
        <v>0</v>
      </c>
      <c r="K83">
        <v>0</v>
      </c>
      <c r="L83" s="1">
        <v>0</v>
      </c>
      <c r="M83" s="1">
        <v>0</v>
      </c>
      <c r="N83" s="4">
        <f t="shared" si="7"/>
        <v>1.2266666666666667E-2</v>
      </c>
      <c r="O83" s="5">
        <f t="shared" si="8"/>
        <v>0.1104</v>
      </c>
      <c r="P83">
        <f t="shared" si="9"/>
        <v>83</v>
      </c>
      <c r="Q83" s="6">
        <f t="shared" si="10"/>
        <v>747</v>
      </c>
      <c r="R83" s="6">
        <f t="shared" si="11"/>
        <v>9.1631999999999998</v>
      </c>
      <c r="S83" t="str">
        <f t="shared" si="12"/>
        <v>Bom</v>
      </c>
    </row>
    <row r="84" spans="1:19" x14ac:dyDescent="0.3">
      <c r="A84" t="s">
        <v>105</v>
      </c>
      <c r="B84" t="s">
        <v>106</v>
      </c>
      <c r="C84" s="5">
        <f>VLOOKUP(A84,Dim!A:B,2,0)</f>
        <v>100.07</v>
      </c>
      <c r="D84" s="1">
        <v>6.4299999999999996E-2</v>
      </c>
      <c r="E84" s="1">
        <v>6.6699999999999995E-2</v>
      </c>
      <c r="F84">
        <v>1.02</v>
      </c>
      <c r="G84" s="2">
        <v>61793200</v>
      </c>
      <c r="H84">
        <v>0</v>
      </c>
      <c r="I84">
        <v>1</v>
      </c>
      <c r="J84" s="3">
        <v>2116.3000000000002</v>
      </c>
      <c r="K84">
        <v>251.98</v>
      </c>
      <c r="L84" s="1">
        <v>0.1191</v>
      </c>
      <c r="M84" s="1">
        <v>2.2100000000000002E-2</v>
      </c>
      <c r="N84" s="4">
        <f t="shared" si="7"/>
        <v>5.5583333333333327E-3</v>
      </c>
      <c r="O84" s="5">
        <f t="shared" si="8"/>
        <v>0.55622241666666661</v>
      </c>
      <c r="P84">
        <f t="shared" si="9"/>
        <v>181</v>
      </c>
      <c r="Q84" s="6">
        <f t="shared" si="10"/>
        <v>18112.669999999998</v>
      </c>
      <c r="R84" s="6">
        <f t="shared" si="11"/>
        <v>100.67625741666666</v>
      </c>
      <c r="S84" t="str">
        <f t="shared" si="12"/>
        <v>Alerta</v>
      </c>
    </row>
    <row r="85" spans="1:19" x14ac:dyDescent="0.3">
      <c r="A85" t="s">
        <v>107</v>
      </c>
      <c r="B85" t="s">
        <v>28</v>
      </c>
      <c r="C85" s="5">
        <f>VLOOKUP(A85,Dim!A:B,2,0)</f>
        <v>43.59</v>
      </c>
      <c r="D85" s="1">
        <v>0.12379999999999999</v>
      </c>
      <c r="E85" s="1">
        <v>0.12540000000000001</v>
      </c>
      <c r="F85">
        <v>0.61</v>
      </c>
      <c r="G85" s="2">
        <v>80326400</v>
      </c>
      <c r="H85" s="2">
        <v>19385</v>
      </c>
      <c r="I85">
        <v>1</v>
      </c>
      <c r="J85" s="3">
        <v>5119.83</v>
      </c>
      <c r="K85">
        <v>748.47</v>
      </c>
      <c r="L85" s="1">
        <v>0.1462</v>
      </c>
      <c r="M85" s="1">
        <v>0</v>
      </c>
      <c r="N85" s="4">
        <f t="shared" si="7"/>
        <v>1.0450000000000001E-2</v>
      </c>
      <c r="O85" s="5">
        <f t="shared" si="8"/>
        <v>0.45551550000000007</v>
      </c>
      <c r="P85">
        <f t="shared" si="9"/>
        <v>97</v>
      </c>
      <c r="Q85" s="6">
        <f t="shared" si="10"/>
        <v>4228.2300000000005</v>
      </c>
      <c r="R85" s="6">
        <f t="shared" si="11"/>
        <v>44.185003500000008</v>
      </c>
      <c r="S85" t="str">
        <f t="shared" si="12"/>
        <v>Alerta</v>
      </c>
    </row>
    <row r="86" spans="1:19" x14ac:dyDescent="0.3">
      <c r="A86" t="s">
        <v>108</v>
      </c>
      <c r="B86" t="s">
        <v>19</v>
      </c>
      <c r="C86" s="5">
        <f>VLOOKUP(A86,Dim!A:B,2,0)</f>
        <v>21</v>
      </c>
      <c r="D86" s="1">
        <v>8.2299999999999998E-2</v>
      </c>
      <c r="E86" s="1">
        <v>0.16</v>
      </c>
      <c r="F86">
        <v>1.01</v>
      </c>
      <c r="G86" s="2">
        <v>23659500</v>
      </c>
      <c r="H86">
        <v>6</v>
      </c>
      <c r="I86">
        <v>7</v>
      </c>
      <c r="J86" s="3">
        <v>2812.89</v>
      </c>
      <c r="K86">
        <v>0</v>
      </c>
      <c r="L86" s="1">
        <v>0</v>
      </c>
      <c r="M86" s="1">
        <v>0</v>
      </c>
      <c r="N86" s="4">
        <f t="shared" si="7"/>
        <v>1.3333333333333334E-2</v>
      </c>
      <c r="O86" s="5">
        <f t="shared" si="8"/>
        <v>0.28000000000000003</v>
      </c>
      <c r="P86">
        <f t="shared" si="9"/>
        <v>76</v>
      </c>
      <c r="Q86" s="6">
        <f t="shared" si="10"/>
        <v>1596</v>
      </c>
      <c r="R86" s="6">
        <f t="shared" si="11"/>
        <v>21.28</v>
      </c>
      <c r="S86" t="str">
        <f t="shared" si="12"/>
        <v>Alerta</v>
      </c>
    </row>
    <row r="87" spans="1:19" x14ac:dyDescent="0.3">
      <c r="A87" t="s">
        <v>109</v>
      </c>
      <c r="B87" t="s">
        <v>19</v>
      </c>
      <c r="C87" s="5">
        <f>VLOOKUP(A87,Dim!A:B,2,0)</f>
        <v>530.02</v>
      </c>
      <c r="D87" s="1">
        <v>6.9900000000000004E-2</v>
      </c>
      <c r="E87" s="1">
        <v>0.3034</v>
      </c>
      <c r="F87">
        <v>0.56999999999999995</v>
      </c>
      <c r="G87" s="2">
        <v>66950300</v>
      </c>
      <c r="H87">
        <v>24</v>
      </c>
      <c r="I87">
        <v>9</v>
      </c>
      <c r="J87" s="3">
        <v>8596.61</v>
      </c>
      <c r="K87">
        <v>563.9</v>
      </c>
      <c r="L87" s="1">
        <v>6.5600000000000006E-2</v>
      </c>
      <c r="M87" s="1">
        <v>0</v>
      </c>
      <c r="N87" s="4">
        <f t="shared" si="7"/>
        <v>2.5283333333333335E-2</v>
      </c>
      <c r="O87" s="5">
        <f t="shared" si="8"/>
        <v>13.400672333333334</v>
      </c>
      <c r="P87">
        <f t="shared" si="9"/>
        <v>41</v>
      </c>
      <c r="Q87" s="6">
        <f t="shared" si="10"/>
        <v>21730.82</v>
      </c>
      <c r="R87" s="6">
        <f t="shared" si="11"/>
        <v>549.42756566666674</v>
      </c>
      <c r="S87" t="str">
        <f t="shared" si="12"/>
        <v>Alerta</v>
      </c>
    </row>
    <row r="88" spans="1:19" x14ac:dyDescent="0.3">
      <c r="A88" t="s">
        <v>110</v>
      </c>
      <c r="B88" t="s">
        <v>28</v>
      </c>
      <c r="C88" s="5">
        <f>VLOOKUP(A88,Dim!A:B,2,0)</f>
        <v>60.84</v>
      </c>
      <c r="D88" s="1">
        <v>3.1099999999999999E-2</v>
      </c>
      <c r="E88" s="1">
        <v>3.5299999999999998E-2</v>
      </c>
      <c r="F88">
        <v>0.84</v>
      </c>
      <c r="G88" s="2">
        <v>191540000</v>
      </c>
      <c r="H88" s="2">
        <v>218617</v>
      </c>
      <c r="I88">
        <v>1</v>
      </c>
      <c r="J88" s="3">
        <v>9969.9699999999993</v>
      </c>
      <c r="K88">
        <v>647.82000000000005</v>
      </c>
      <c r="L88" s="1">
        <v>6.5000000000000002E-2</v>
      </c>
      <c r="M88" s="1">
        <v>0.31780000000000003</v>
      </c>
      <c r="N88" s="4">
        <f t="shared" si="7"/>
        <v>2.9416666666666666E-3</v>
      </c>
      <c r="O88" s="5">
        <f t="shared" si="8"/>
        <v>0.17897100000000002</v>
      </c>
      <c r="P88">
        <f t="shared" si="9"/>
        <v>341</v>
      </c>
      <c r="Q88" s="6">
        <f t="shared" si="10"/>
        <v>20746.440000000002</v>
      </c>
      <c r="R88" s="6">
        <f t="shared" si="11"/>
        <v>61.029111000000007</v>
      </c>
      <c r="S88" t="str">
        <f t="shared" si="12"/>
        <v>Alerta</v>
      </c>
    </row>
    <row r="89" spans="1:19" x14ac:dyDescent="0.3">
      <c r="A89" t="s">
        <v>111</v>
      </c>
      <c r="B89" t="s">
        <v>14</v>
      </c>
      <c r="C89" s="5">
        <f>VLOOKUP(A89,Dim!A:B,2,0)</f>
        <v>87.18</v>
      </c>
      <c r="D89" s="1">
        <v>0.13950000000000001</v>
      </c>
      <c r="E89" s="1">
        <v>0.14030000000000001</v>
      </c>
      <c r="F89">
        <v>0.9</v>
      </c>
      <c r="G89" s="2">
        <v>380994000</v>
      </c>
      <c r="H89" s="2">
        <v>935878</v>
      </c>
      <c r="I89">
        <v>0</v>
      </c>
      <c r="J89">
        <v>0</v>
      </c>
      <c r="K89">
        <v>0</v>
      </c>
      <c r="L89" s="1">
        <v>0</v>
      </c>
      <c r="M89" s="1">
        <v>0</v>
      </c>
      <c r="N89" s="4">
        <f t="shared" si="7"/>
        <v>1.1691666666666668E-2</v>
      </c>
      <c r="O89" s="5">
        <f t="shared" si="8"/>
        <v>1.0192795000000001</v>
      </c>
      <c r="P89">
        <f t="shared" si="9"/>
        <v>87</v>
      </c>
      <c r="Q89" s="6">
        <f t="shared" si="10"/>
        <v>7584.6600000000008</v>
      </c>
      <c r="R89" s="6">
        <f t="shared" si="11"/>
        <v>88.677316500000003</v>
      </c>
      <c r="S89" t="str">
        <f t="shared" si="12"/>
        <v>Alerta</v>
      </c>
    </row>
    <row r="90" spans="1:19" x14ac:dyDescent="0.3">
      <c r="A90" t="s">
        <v>507</v>
      </c>
      <c r="B90" t="s">
        <v>14</v>
      </c>
      <c r="C90" s="5">
        <f>VLOOKUP(A90,Dim!A:B,2,0)</f>
        <v>9.44</v>
      </c>
      <c r="D90" s="1">
        <v>0.1183</v>
      </c>
      <c r="E90" s="1">
        <v>0.15240000000000001</v>
      </c>
      <c r="F90">
        <v>0.94</v>
      </c>
      <c r="G90" s="2">
        <v>785012000</v>
      </c>
      <c r="H90" s="2">
        <v>1692500</v>
      </c>
      <c r="I90">
        <v>0</v>
      </c>
      <c r="J90">
        <v>0</v>
      </c>
      <c r="K90">
        <v>0</v>
      </c>
      <c r="L90" s="1">
        <v>0</v>
      </c>
      <c r="M90" s="1">
        <v>0</v>
      </c>
      <c r="N90" s="4">
        <f t="shared" si="7"/>
        <v>1.2700000000000001E-2</v>
      </c>
      <c r="O90" s="5">
        <f t="shared" si="8"/>
        <v>0.11988800000000001</v>
      </c>
      <c r="P90">
        <f t="shared" si="9"/>
        <v>80</v>
      </c>
      <c r="Q90" s="6">
        <f t="shared" si="10"/>
        <v>755.19999999999993</v>
      </c>
      <c r="R90" s="6">
        <f t="shared" si="11"/>
        <v>9.5910400000000013</v>
      </c>
      <c r="S90" t="str">
        <f t="shared" si="12"/>
        <v>Alerta</v>
      </c>
    </row>
    <row r="91" spans="1:19" x14ac:dyDescent="0.3">
      <c r="A91" t="s">
        <v>98</v>
      </c>
      <c r="B91" t="s">
        <v>14</v>
      </c>
      <c r="C91" s="5">
        <f>VLOOKUP(A91,Dim!A:B,2,0)</f>
        <v>9.65</v>
      </c>
      <c r="D91" s="1">
        <v>0.1575</v>
      </c>
      <c r="E91" s="1">
        <v>0.14599999999999999</v>
      </c>
      <c r="F91">
        <v>0.94</v>
      </c>
      <c r="G91" s="2">
        <v>283500000</v>
      </c>
      <c r="H91" s="2">
        <v>5368</v>
      </c>
      <c r="I91">
        <v>1</v>
      </c>
      <c r="J91">
        <v>0</v>
      </c>
      <c r="K91">
        <v>0</v>
      </c>
      <c r="L91" s="1">
        <v>0</v>
      </c>
      <c r="M91" s="1">
        <v>0</v>
      </c>
      <c r="N91" s="4">
        <f t="shared" si="7"/>
        <v>1.2166666666666666E-2</v>
      </c>
      <c r="O91" s="5">
        <f t="shared" si="8"/>
        <v>0.11740833333333334</v>
      </c>
      <c r="P91">
        <f t="shared" si="9"/>
        <v>84</v>
      </c>
      <c r="Q91" s="6">
        <f t="shared" si="10"/>
        <v>810.6</v>
      </c>
      <c r="R91" s="6">
        <f t="shared" si="11"/>
        <v>9.8623000000000012</v>
      </c>
      <c r="S91" t="str">
        <f t="shared" si="12"/>
        <v>Bom</v>
      </c>
    </row>
    <row r="92" spans="1:19" x14ac:dyDescent="0.3">
      <c r="A92" t="s">
        <v>494</v>
      </c>
      <c r="B92" t="s">
        <v>19</v>
      </c>
      <c r="C92" s="5">
        <f>VLOOKUP(A92,Dim!A:B,2,0)</f>
        <v>8.9700000000000006</v>
      </c>
      <c r="D92" s="1">
        <v>1.5800000000000002E-2</v>
      </c>
      <c r="E92" s="1">
        <v>0.12570000000000001</v>
      </c>
      <c r="F92">
        <v>0.98</v>
      </c>
      <c r="G92" s="2">
        <v>144531000</v>
      </c>
      <c r="H92" s="2">
        <v>244768</v>
      </c>
      <c r="I92">
        <v>0</v>
      </c>
      <c r="J92">
        <v>0</v>
      </c>
      <c r="K92">
        <v>0</v>
      </c>
      <c r="L92" s="1">
        <v>0</v>
      </c>
      <c r="M92" s="1">
        <v>0</v>
      </c>
      <c r="N92" s="4">
        <f t="shared" si="7"/>
        <v>1.0475E-2</v>
      </c>
      <c r="O92" s="5">
        <f t="shared" si="8"/>
        <v>9.396075000000001E-2</v>
      </c>
      <c r="P92">
        <f t="shared" si="9"/>
        <v>97</v>
      </c>
      <c r="Q92" s="6">
        <f t="shared" si="10"/>
        <v>870.09</v>
      </c>
      <c r="R92" s="6">
        <f t="shared" si="11"/>
        <v>9.1141927500000008</v>
      </c>
      <c r="S92" t="str">
        <f t="shared" si="12"/>
        <v>Alerta</v>
      </c>
    </row>
    <row r="93" spans="1:19" x14ac:dyDescent="0.3">
      <c r="A93" t="s">
        <v>229</v>
      </c>
      <c r="B93" t="s">
        <v>47</v>
      </c>
      <c r="C93" s="5">
        <f>VLOOKUP(A93,Dim!A:B,2,0)</f>
        <v>9.01</v>
      </c>
      <c r="D93" s="1">
        <v>6.13E-2</v>
      </c>
      <c r="E93" s="1">
        <v>7.9100000000000004E-2</v>
      </c>
      <c r="F93">
        <v>0.82</v>
      </c>
      <c r="G93" s="2">
        <v>383775000</v>
      </c>
      <c r="H93" s="2">
        <v>68258</v>
      </c>
      <c r="I93">
        <v>3</v>
      </c>
      <c r="J93" s="3">
        <v>1996.47</v>
      </c>
      <c r="K93">
        <v>198.55</v>
      </c>
      <c r="L93" s="1">
        <v>9.9400000000000002E-2</v>
      </c>
      <c r="M93" s="1">
        <v>0</v>
      </c>
      <c r="N93" s="4">
        <f t="shared" si="7"/>
        <v>6.5916666666666667E-3</v>
      </c>
      <c r="O93" s="5">
        <f t="shared" si="8"/>
        <v>5.9390916666666668E-2</v>
      </c>
      <c r="P93">
        <f t="shared" si="9"/>
        <v>153</v>
      </c>
      <c r="Q93" s="6">
        <f t="shared" si="10"/>
        <v>1378.53</v>
      </c>
      <c r="R93" s="6">
        <f t="shared" si="11"/>
        <v>9.086810250000001</v>
      </c>
      <c r="S93" t="str">
        <f t="shared" si="12"/>
        <v>Alerta</v>
      </c>
    </row>
    <row r="94" spans="1:19" x14ac:dyDescent="0.3">
      <c r="A94" t="s">
        <v>218</v>
      </c>
      <c r="B94" t="s">
        <v>47</v>
      </c>
      <c r="C94" s="5">
        <f>VLOOKUP(A94,Dim!A:B,2,0)</f>
        <v>9.02</v>
      </c>
      <c r="D94" s="1">
        <v>0.1028</v>
      </c>
      <c r="E94" s="1">
        <v>0.1167</v>
      </c>
      <c r="F94">
        <v>0.94</v>
      </c>
      <c r="G94" s="2">
        <v>225717000</v>
      </c>
      <c r="H94" s="2">
        <v>92563</v>
      </c>
      <c r="I94">
        <v>1</v>
      </c>
      <c r="J94" s="3">
        <v>1654.25</v>
      </c>
      <c r="K94">
        <v>235.37</v>
      </c>
      <c r="L94" s="1">
        <v>0.14230000000000001</v>
      </c>
      <c r="M94" s="1">
        <v>0</v>
      </c>
      <c r="N94" s="4">
        <f t="shared" si="7"/>
        <v>9.7249999999999993E-3</v>
      </c>
      <c r="O94" s="5">
        <f t="shared" si="8"/>
        <v>8.7719499999999992E-2</v>
      </c>
      <c r="P94">
        <f t="shared" si="9"/>
        <v>104</v>
      </c>
      <c r="Q94" s="6">
        <f t="shared" si="10"/>
        <v>938.07999999999993</v>
      </c>
      <c r="R94" s="6">
        <f t="shared" si="11"/>
        <v>9.1228279999999984</v>
      </c>
      <c r="S94" t="str">
        <f t="shared" si="12"/>
        <v>Alerta</v>
      </c>
    </row>
    <row r="95" spans="1:19" x14ac:dyDescent="0.3">
      <c r="A95" t="s">
        <v>117</v>
      </c>
      <c r="B95" t="s">
        <v>14</v>
      </c>
      <c r="C95" s="5">
        <f>VLOOKUP(A95,Dim!A:B,2,0)</f>
        <v>109.5</v>
      </c>
      <c r="D95" s="1">
        <v>4.65E-2</v>
      </c>
      <c r="E95" s="1">
        <v>7.1400000000000005E-2</v>
      </c>
      <c r="F95">
        <v>1.02</v>
      </c>
      <c r="G95" s="2">
        <v>522960000</v>
      </c>
      <c r="H95" s="2">
        <v>5344920</v>
      </c>
      <c r="I95">
        <v>4</v>
      </c>
      <c r="J95">
        <v>4.08</v>
      </c>
      <c r="K95">
        <v>0.27</v>
      </c>
      <c r="L95" s="1">
        <v>6.7000000000000004E-2</v>
      </c>
      <c r="M95" s="1">
        <v>0</v>
      </c>
      <c r="N95" s="4">
        <f t="shared" si="7"/>
        <v>5.9500000000000004E-3</v>
      </c>
      <c r="O95" s="5">
        <f t="shared" si="8"/>
        <v>0.65152500000000002</v>
      </c>
      <c r="P95">
        <f t="shared" si="9"/>
        <v>170</v>
      </c>
      <c r="Q95" s="6">
        <f t="shared" si="10"/>
        <v>18615</v>
      </c>
      <c r="R95" s="6">
        <f t="shared" si="11"/>
        <v>110.75925000000001</v>
      </c>
      <c r="S95" t="str">
        <f t="shared" si="12"/>
        <v>Alerta</v>
      </c>
    </row>
    <row r="96" spans="1:19" x14ac:dyDescent="0.3">
      <c r="A96" t="s">
        <v>187</v>
      </c>
      <c r="B96" t="s">
        <v>19</v>
      </c>
      <c r="C96" s="5">
        <f>VLOOKUP(A96,Dim!A:B,2,0)</f>
        <v>8.99</v>
      </c>
      <c r="D96" s="1">
        <v>5.5100000000000003E-2</v>
      </c>
      <c r="E96" s="1">
        <v>0.1132</v>
      </c>
      <c r="F96">
        <v>0.97</v>
      </c>
      <c r="G96" s="2">
        <v>1997370000</v>
      </c>
      <c r="H96" s="2">
        <v>6666180</v>
      </c>
      <c r="I96">
        <v>4</v>
      </c>
      <c r="J96">
        <v>194.13</v>
      </c>
      <c r="K96">
        <v>15.69</v>
      </c>
      <c r="L96" s="1">
        <v>8.0799999999999997E-2</v>
      </c>
      <c r="M96" s="1">
        <v>0</v>
      </c>
      <c r="N96" s="4">
        <f t="shared" si="7"/>
        <v>9.4333333333333335E-3</v>
      </c>
      <c r="O96" s="5">
        <f t="shared" si="8"/>
        <v>8.4805666666666668E-2</v>
      </c>
      <c r="P96">
        <f t="shared" si="9"/>
        <v>108</v>
      </c>
      <c r="Q96" s="6">
        <f t="shared" si="10"/>
        <v>970.92000000000007</v>
      </c>
      <c r="R96" s="6">
        <f t="shared" si="11"/>
        <v>9.1590120000000006</v>
      </c>
      <c r="S96" t="str">
        <f t="shared" si="12"/>
        <v>Alerta</v>
      </c>
    </row>
    <row r="97" spans="1:19" x14ac:dyDescent="0.3">
      <c r="A97" t="s">
        <v>337</v>
      </c>
      <c r="B97" t="s">
        <v>14</v>
      </c>
      <c r="C97" s="5">
        <f>VLOOKUP(A97,Dim!A:B,2,0)</f>
        <v>0</v>
      </c>
      <c r="D97" s="1">
        <v>0.1542</v>
      </c>
      <c r="E97" s="1">
        <v>0.1484</v>
      </c>
      <c r="F97">
        <v>0.82</v>
      </c>
      <c r="G97" s="2">
        <v>121793000</v>
      </c>
      <c r="H97" s="2">
        <v>7729</v>
      </c>
      <c r="I97">
        <v>0</v>
      </c>
      <c r="J97">
        <v>0</v>
      </c>
      <c r="K97">
        <v>0</v>
      </c>
      <c r="L97" s="1">
        <v>0</v>
      </c>
      <c r="M97" s="1">
        <v>0</v>
      </c>
      <c r="N97" s="4">
        <f t="shared" si="7"/>
        <v>1.2366666666666666E-2</v>
      </c>
      <c r="O97" s="5">
        <f t="shared" si="8"/>
        <v>0</v>
      </c>
      <c r="P97" t="e">
        <f t="shared" si="9"/>
        <v>#DIV/0!</v>
      </c>
      <c r="Q97" s="6" t="e">
        <f t="shared" si="10"/>
        <v>#DIV/0!</v>
      </c>
      <c r="R97" s="6" t="e">
        <f t="shared" si="11"/>
        <v>#DIV/0!</v>
      </c>
      <c r="S97" t="str">
        <f t="shared" si="12"/>
        <v>Bom</v>
      </c>
    </row>
    <row r="98" spans="1:19" x14ac:dyDescent="0.3">
      <c r="A98" t="s">
        <v>449</v>
      </c>
      <c r="B98" t="s">
        <v>19</v>
      </c>
      <c r="C98" s="5">
        <f>VLOOKUP(A98,Dim!A:B,2,0)</f>
        <v>8.93</v>
      </c>
      <c r="D98" s="1">
        <v>0.1399</v>
      </c>
      <c r="E98" s="1">
        <v>0.14099999999999999</v>
      </c>
      <c r="F98">
        <v>0.89</v>
      </c>
      <c r="G98" s="2">
        <v>136616000</v>
      </c>
      <c r="H98" s="2">
        <v>142471</v>
      </c>
      <c r="I98">
        <v>0</v>
      </c>
      <c r="J98">
        <v>0</v>
      </c>
      <c r="K98">
        <v>0</v>
      </c>
      <c r="L98" s="1">
        <v>0</v>
      </c>
      <c r="M98" s="1">
        <v>0</v>
      </c>
      <c r="N98" s="4">
        <f t="shared" si="7"/>
        <v>1.1749999999999998E-2</v>
      </c>
      <c r="O98" s="5">
        <f t="shared" si="8"/>
        <v>0.10492749999999998</v>
      </c>
      <c r="P98">
        <f t="shared" si="9"/>
        <v>87</v>
      </c>
      <c r="Q98" s="6">
        <f t="shared" si="10"/>
        <v>776.91</v>
      </c>
      <c r="R98" s="6">
        <f t="shared" si="11"/>
        <v>9.1286924999999979</v>
      </c>
      <c r="S98" t="str">
        <f t="shared" si="12"/>
        <v>Alerta</v>
      </c>
    </row>
    <row r="99" spans="1:19" x14ac:dyDescent="0.3">
      <c r="A99" t="s">
        <v>381</v>
      </c>
      <c r="B99" t="s">
        <v>14</v>
      </c>
      <c r="C99" s="5">
        <f>VLOOKUP(A99,Dim!A:B,2,0)</f>
        <v>8.82</v>
      </c>
      <c r="D99" s="1">
        <v>0.125</v>
      </c>
      <c r="E99" s="1">
        <v>0.12709999999999999</v>
      </c>
      <c r="F99">
        <v>0.88</v>
      </c>
      <c r="G99" s="2">
        <v>105842000</v>
      </c>
      <c r="H99" s="2">
        <v>65637</v>
      </c>
      <c r="I99">
        <v>0</v>
      </c>
      <c r="J99">
        <v>0</v>
      </c>
      <c r="K99">
        <v>0</v>
      </c>
      <c r="L99" s="1">
        <v>0</v>
      </c>
      <c r="M99" s="1">
        <v>0</v>
      </c>
      <c r="N99" s="4">
        <f t="shared" si="7"/>
        <v>1.0591666666666666E-2</v>
      </c>
      <c r="O99" s="5">
        <f t="shared" si="8"/>
        <v>9.3418500000000002E-2</v>
      </c>
      <c r="P99">
        <f t="shared" si="9"/>
        <v>96</v>
      </c>
      <c r="Q99" s="6">
        <f t="shared" si="10"/>
        <v>846.72</v>
      </c>
      <c r="R99" s="6">
        <f t="shared" si="11"/>
        <v>8.9681759999999997</v>
      </c>
      <c r="S99" t="str">
        <f t="shared" si="12"/>
        <v>Alerta</v>
      </c>
    </row>
    <row r="100" spans="1:19" x14ac:dyDescent="0.3">
      <c r="A100" t="s">
        <v>122</v>
      </c>
      <c r="B100" t="s">
        <v>23</v>
      </c>
      <c r="C100" s="5">
        <f>VLOOKUP(A100,Dim!A:B,2,0)</f>
        <v>95.5</v>
      </c>
      <c r="D100" s="1">
        <v>8.4900000000000003E-2</v>
      </c>
      <c r="E100" s="1">
        <v>0.1174</v>
      </c>
      <c r="F100">
        <v>0.93</v>
      </c>
      <c r="G100" s="2">
        <v>225348000</v>
      </c>
      <c r="H100" s="2">
        <v>633902</v>
      </c>
      <c r="I100">
        <v>0</v>
      </c>
      <c r="J100">
        <v>0</v>
      </c>
      <c r="K100">
        <v>0</v>
      </c>
      <c r="L100" s="1">
        <v>0</v>
      </c>
      <c r="M100" s="1">
        <v>0</v>
      </c>
      <c r="N100" s="4">
        <f t="shared" si="7"/>
        <v>9.7833333333333331E-3</v>
      </c>
      <c r="O100" s="5">
        <f t="shared" si="8"/>
        <v>0.9343083333333333</v>
      </c>
      <c r="P100">
        <f t="shared" si="9"/>
        <v>104</v>
      </c>
      <c r="Q100" s="6">
        <f t="shared" si="10"/>
        <v>9932</v>
      </c>
      <c r="R100" s="6">
        <f t="shared" si="11"/>
        <v>97.168066666666661</v>
      </c>
      <c r="S100" t="str">
        <f t="shared" si="12"/>
        <v>Alerta</v>
      </c>
    </row>
    <row r="101" spans="1:19" x14ac:dyDescent="0.3">
      <c r="A101" t="s">
        <v>123</v>
      </c>
      <c r="B101" t="s">
        <v>19</v>
      </c>
      <c r="C101" s="5">
        <f>VLOOKUP(A101,Dim!A:B,2,0)</f>
        <v>74.8</v>
      </c>
      <c r="D101" s="1">
        <v>9.8299999999999998E-2</v>
      </c>
      <c r="E101" s="1">
        <v>0.1057</v>
      </c>
      <c r="F101">
        <v>0.9</v>
      </c>
      <c r="G101" s="2">
        <v>51573600</v>
      </c>
      <c r="H101" s="2">
        <v>6551</v>
      </c>
      <c r="I101">
        <v>0</v>
      </c>
      <c r="J101">
        <v>0</v>
      </c>
      <c r="K101">
        <v>0</v>
      </c>
      <c r="L101" s="1">
        <v>0</v>
      </c>
      <c r="M101" s="1">
        <v>0</v>
      </c>
      <c r="N101" s="4">
        <f t="shared" si="7"/>
        <v>8.8083333333333329E-3</v>
      </c>
      <c r="O101" s="5">
        <f t="shared" si="8"/>
        <v>0.65886333333333325</v>
      </c>
      <c r="P101">
        <f t="shared" si="9"/>
        <v>115</v>
      </c>
      <c r="Q101" s="6">
        <f t="shared" si="10"/>
        <v>8602</v>
      </c>
      <c r="R101" s="6">
        <f t="shared" si="11"/>
        <v>75.76928333333332</v>
      </c>
      <c r="S101" t="str">
        <f t="shared" si="12"/>
        <v>Alerta</v>
      </c>
    </row>
    <row r="102" spans="1:19" x14ac:dyDescent="0.3">
      <c r="A102" t="s">
        <v>291</v>
      </c>
      <c r="B102" t="s">
        <v>19</v>
      </c>
      <c r="C102" s="5">
        <f>VLOOKUP(A102,Dim!A:B,2,0)</f>
        <v>8.8000000000000007</v>
      </c>
      <c r="D102" s="1">
        <v>0.10440000000000001</v>
      </c>
      <c r="E102" s="1">
        <v>0.127</v>
      </c>
      <c r="F102">
        <v>1</v>
      </c>
      <c r="G102" s="2">
        <v>1777360000</v>
      </c>
      <c r="H102" s="2">
        <v>4771960</v>
      </c>
      <c r="I102">
        <v>0</v>
      </c>
      <c r="J102">
        <v>0</v>
      </c>
      <c r="K102">
        <v>0</v>
      </c>
      <c r="L102" s="1">
        <v>0</v>
      </c>
      <c r="M102" s="1">
        <v>0</v>
      </c>
      <c r="N102" s="4">
        <f t="shared" si="7"/>
        <v>1.0583333333333333E-2</v>
      </c>
      <c r="O102" s="5">
        <f t="shared" si="8"/>
        <v>9.3133333333333346E-2</v>
      </c>
      <c r="P102">
        <f t="shared" si="9"/>
        <v>96</v>
      </c>
      <c r="Q102" s="6">
        <f t="shared" si="10"/>
        <v>844.80000000000007</v>
      </c>
      <c r="R102" s="6">
        <f t="shared" si="11"/>
        <v>8.9408000000000012</v>
      </c>
      <c r="S102" t="str">
        <f t="shared" si="12"/>
        <v>Alerta</v>
      </c>
    </row>
    <row r="103" spans="1:19" x14ac:dyDescent="0.3">
      <c r="A103" t="s">
        <v>125</v>
      </c>
      <c r="B103" t="s">
        <v>14</v>
      </c>
      <c r="C103" s="5">
        <f>VLOOKUP(A103,Dim!A:B,2,0)</f>
        <v>82.78</v>
      </c>
      <c r="D103" s="1">
        <v>0.1459</v>
      </c>
      <c r="E103" s="1">
        <v>0.14349999999999999</v>
      </c>
      <c r="F103">
        <v>0.89</v>
      </c>
      <c r="G103" s="2">
        <v>911427000</v>
      </c>
      <c r="H103" s="2">
        <v>3128870</v>
      </c>
      <c r="I103">
        <v>0</v>
      </c>
      <c r="J103">
        <v>0</v>
      </c>
      <c r="K103">
        <v>0</v>
      </c>
      <c r="L103" s="1">
        <v>0</v>
      </c>
      <c r="M103" s="1">
        <v>0</v>
      </c>
      <c r="N103" s="4">
        <f t="shared" si="7"/>
        <v>1.1958333333333333E-2</v>
      </c>
      <c r="O103" s="5">
        <f t="shared" si="8"/>
        <v>0.9899108333333333</v>
      </c>
      <c r="P103">
        <f t="shared" si="9"/>
        <v>85</v>
      </c>
      <c r="Q103" s="6">
        <f t="shared" si="10"/>
        <v>7036.3</v>
      </c>
      <c r="R103" s="6">
        <f t="shared" si="11"/>
        <v>84.142420833333333</v>
      </c>
      <c r="S103" t="str">
        <f t="shared" si="12"/>
        <v>Bom</v>
      </c>
    </row>
    <row r="104" spans="1:19" x14ac:dyDescent="0.3">
      <c r="A104" t="s">
        <v>126</v>
      </c>
      <c r="B104" t="s">
        <v>25</v>
      </c>
      <c r="C104" s="5">
        <f>VLOOKUP(A104,Dim!A:B,2,0)</f>
        <v>73.31</v>
      </c>
      <c r="D104" s="1">
        <v>0.12139999999999999</v>
      </c>
      <c r="E104" s="1">
        <v>0.13009999999999999</v>
      </c>
      <c r="F104">
        <v>0.66</v>
      </c>
      <c r="G104" s="2">
        <v>152134000</v>
      </c>
      <c r="H104" s="2">
        <v>120716</v>
      </c>
      <c r="I104">
        <v>32</v>
      </c>
      <c r="J104" s="3">
        <v>2601.36</v>
      </c>
      <c r="K104">
        <v>358.63</v>
      </c>
      <c r="L104" s="1">
        <v>0.13789999999999999</v>
      </c>
      <c r="M104" s="1">
        <v>0</v>
      </c>
      <c r="N104" s="4">
        <f t="shared" si="7"/>
        <v>1.0841666666666666E-2</v>
      </c>
      <c r="O104" s="5">
        <f t="shared" si="8"/>
        <v>0.79480258333333331</v>
      </c>
      <c r="P104">
        <f t="shared" si="9"/>
        <v>94</v>
      </c>
      <c r="Q104" s="6">
        <f t="shared" si="10"/>
        <v>6891.14</v>
      </c>
      <c r="R104" s="6">
        <f t="shared" si="11"/>
        <v>74.711442833333336</v>
      </c>
      <c r="S104" t="str">
        <f t="shared" si="12"/>
        <v>Alerta</v>
      </c>
    </row>
    <row r="105" spans="1:19" x14ac:dyDescent="0.3">
      <c r="A105" t="s">
        <v>127</v>
      </c>
      <c r="B105" t="s">
        <v>28</v>
      </c>
      <c r="C105" s="5">
        <f>VLOOKUP(A105,Dim!A:B,2,0)</f>
        <v>40.880000000000003</v>
      </c>
      <c r="D105" s="1">
        <v>0.1368</v>
      </c>
      <c r="E105" s="1">
        <v>0.1303</v>
      </c>
      <c r="F105">
        <v>0.63</v>
      </c>
      <c r="G105" s="2">
        <v>68877700</v>
      </c>
      <c r="H105" s="2">
        <v>13389</v>
      </c>
      <c r="I105">
        <v>1</v>
      </c>
      <c r="J105" s="3">
        <v>3239.42</v>
      </c>
      <c r="K105">
        <v>487.52</v>
      </c>
      <c r="L105" s="1">
        <v>0.15049999999999999</v>
      </c>
      <c r="M105" s="1">
        <v>0</v>
      </c>
      <c r="N105" s="4">
        <f t="shared" si="7"/>
        <v>1.0858333333333333E-2</v>
      </c>
      <c r="O105" s="5">
        <f t="shared" si="8"/>
        <v>0.44388866666666665</v>
      </c>
      <c r="P105">
        <f t="shared" si="9"/>
        <v>94</v>
      </c>
      <c r="Q105" s="6">
        <f t="shared" si="10"/>
        <v>3842.7200000000003</v>
      </c>
      <c r="R105" s="6">
        <f t="shared" si="11"/>
        <v>41.725534666666668</v>
      </c>
      <c r="S105" t="str">
        <f t="shared" si="12"/>
        <v>Bom</v>
      </c>
    </row>
    <row r="106" spans="1:19" x14ac:dyDescent="0.3">
      <c r="A106" t="s">
        <v>128</v>
      </c>
      <c r="B106" t="s">
        <v>19</v>
      </c>
      <c r="C106" s="5">
        <f>VLOOKUP(A106,Dim!A:B,2,0)</f>
        <v>66.010000000000005</v>
      </c>
      <c r="D106" s="1">
        <v>0.14130000000000001</v>
      </c>
      <c r="E106" s="1">
        <v>0.1363</v>
      </c>
      <c r="F106">
        <v>0.78</v>
      </c>
      <c r="G106" s="2">
        <v>136448000</v>
      </c>
      <c r="H106" s="2">
        <v>236631</v>
      </c>
      <c r="I106">
        <v>0</v>
      </c>
      <c r="J106">
        <v>0</v>
      </c>
      <c r="K106">
        <v>0</v>
      </c>
      <c r="L106" s="1">
        <v>0</v>
      </c>
      <c r="M106" s="1">
        <v>0</v>
      </c>
      <c r="N106" s="4">
        <f t="shared" si="7"/>
        <v>1.1358333333333333E-2</v>
      </c>
      <c r="O106" s="5">
        <f t="shared" si="8"/>
        <v>0.74976358333333337</v>
      </c>
      <c r="P106">
        <f t="shared" si="9"/>
        <v>90</v>
      </c>
      <c r="Q106" s="6">
        <f t="shared" si="10"/>
        <v>5940.9000000000005</v>
      </c>
      <c r="R106" s="6">
        <f t="shared" si="11"/>
        <v>67.478722500000003</v>
      </c>
      <c r="S106" t="str">
        <f t="shared" si="12"/>
        <v>Bom</v>
      </c>
    </row>
    <row r="107" spans="1:19" x14ac:dyDescent="0.3">
      <c r="A107" t="s">
        <v>129</v>
      </c>
      <c r="B107" t="s">
        <v>19</v>
      </c>
      <c r="C107" s="5">
        <f>VLOOKUP(A107,Dim!A:B,2,0)</f>
        <v>59.87</v>
      </c>
      <c r="D107" s="1">
        <v>0.1434</v>
      </c>
      <c r="E107" s="1">
        <v>0.13569999999999999</v>
      </c>
      <c r="F107">
        <v>0.62</v>
      </c>
      <c r="G107" s="2">
        <v>233782000</v>
      </c>
      <c r="H107" s="2">
        <v>135748</v>
      </c>
      <c r="I107">
        <v>10</v>
      </c>
      <c r="J107" s="3">
        <v>2503.5700000000002</v>
      </c>
      <c r="K107">
        <v>412.17</v>
      </c>
      <c r="L107" s="1">
        <v>0.1646</v>
      </c>
      <c r="M107" s="1">
        <v>0</v>
      </c>
      <c r="N107" s="4">
        <f t="shared" si="7"/>
        <v>1.1308333333333332E-2</v>
      </c>
      <c r="O107" s="5">
        <f t="shared" si="8"/>
        <v>0.67702991666666656</v>
      </c>
      <c r="P107">
        <f t="shared" si="9"/>
        <v>90</v>
      </c>
      <c r="Q107" s="6">
        <f t="shared" si="10"/>
        <v>5388.3</v>
      </c>
      <c r="R107" s="6">
        <f t="shared" si="11"/>
        <v>60.932692499999987</v>
      </c>
      <c r="S107" t="str">
        <f t="shared" si="12"/>
        <v>Bom</v>
      </c>
    </row>
    <row r="108" spans="1:19" x14ac:dyDescent="0.3">
      <c r="A108" t="s">
        <v>130</v>
      </c>
      <c r="B108" t="s">
        <v>19</v>
      </c>
      <c r="C108" s="5">
        <f>VLOOKUP(A108,Dim!A:B,2,0)</f>
        <v>63.79</v>
      </c>
      <c r="D108" s="1">
        <v>0.10979999999999999</v>
      </c>
      <c r="E108" s="1">
        <v>0.1177</v>
      </c>
      <c r="F108">
        <v>0.78</v>
      </c>
      <c r="G108" s="2">
        <v>102267000</v>
      </c>
      <c r="H108" s="2">
        <v>15010</v>
      </c>
      <c r="I108">
        <v>0</v>
      </c>
      <c r="J108">
        <v>0</v>
      </c>
      <c r="K108">
        <v>0</v>
      </c>
      <c r="L108" s="1">
        <v>0</v>
      </c>
      <c r="M108" s="1">
        <v>0</v>
      </c>
      <c r="N108" s="4">
        <f t="shared" si="7"/>
        <v>9.8083333333333338E-3</v>
      </c>
      <c r="O108" s="5">
        <f t="shared" si="8"/>
        <v>0.62567358333333334</v>
      </c>
      <c r="P108">
        <f t="shared" si="9"/>
        <v>103</v>
      </c>
      <c r="Q108" s="6">
        <f t="shared" si="10"/>
        <v>6570.37</v>
      </c>
      <c r="R108" s="6">
        <f t="shared" si="11"/>
        <v>64.444379083333331</v>
      </c>
      <c r="S108" t="str">
        <f t="shared" si="12"/>
        <v>Alerta</v>
      </c>
    </row>
    <row r="109" spans="1:19" x14ac:dyDescent="0.3">
      <c r="A109" t="s">
        <v>131</v>
      </c>
      <c r="B109" t="s">
        <v>47</v>
      </c>
      <c r="C109" s="5">
        <f>VLOOKUP(A109,Dim!A:B,2,0)</f>
        <v>307.98</v>
      </c>
      <c r="D109" s="1">
        <v>6.0100000000000001E-2</v>
      </c>
      <c r="E109" s="1">
        <v>5.7700000000000001E-2</v>
      </c>
      <c r="F109">
        <v>0.74</v>
      </c>
      <c r="G109" s="2">
        <v>16320300</v>
      </c>
      <c r="H109" s="2">
        <v>152680</v>
      </c>
      <c r="I109">
        <v>1</v>
      </c>
      <c r="J109" s="3">
        <v>2309.73</v>
      </c>
      <c r="K109">
        <v>354.92</v>
      </c>
      <c r="L109" s="1">
        <v>0.1537</v>
      </c>
      <c r="M109" s="1">
        <v>0</v>
      </c>
      <c r="N109" s="4">
        <f t="shared" si="7"/>
        <v>4.8083333333333337E-3</v>
      </c>
      <c r="O109" s="5">
        <f t="shared" si="8"/>
        <v>1.4808705000000002</v>
      </c>
      <c r="P109">
        <f t="shared" si="9"/>
        <v>209</v>
      </c>
      <c r="Q109" s="6">
        <f t="shared" si="10"/>
        <v>64367.820000000007</v>
      </c>
      <c r="R109" s="6">
        <f t="shared" si="11"/>
        <v>309.50193450000006</v>
      </c>
      <c r="S109" t="str">
        <f t="shared" si="12"/>
        <v>Bom</v>
      </c>
    </row>
    <row r="110" spans="1:19" x14ac:dyDescent="0.3">
      <c r="A110" t="s">
        <v>312</v>
      </c>
      <c r="B110" t="s">
        <v>14</v>
      </c>
      <c r="C110" s="5">
        <f>VLOOKUP(A110,Dim!A:B,2,0)</f>
        <v>8.9</v>
      </c>
      <c r="D110" s="1">
        <v>0.10249999999999999</v>
      </c>
      <c r="E110" s="1">
        <v>0.14480000000000001</v>
      </c>
      <c r="F110">
        <v>0.94</v>
      </c>
      <c r="G110" s="2">
        <v>329943000</v>
      </c>
      <c r="H110" s="2">
        <v>1145940</v>
      </c>
      <c r="I110">
        <v>0</v>
      </c>
      <c r="J110">
        <v>0</v>
      </c>
      <c r="K110">
        <v>0</v>
      </c>
      <c r="L110" s="1">
        <v>0</v>
      </c>
      <c r="M110" s="1">
        <v>0</v>
      </c>
      <c r="N110" s="4">
        <f t="shared" si="7"/>
        <v>1.2066666666666668E-2</v>
      </c>
      <c r="O110" s="5">
        <f t="shared" si="8"/>
        <v>0.10739333333333335</v>
      </c>
      <c r="P110">
        <f t="shared" si="9"/>
        <v>84</v>
      </c>
      <c r="Q110" s="6">
        <f t="shared" si="10"/>
        <v>747.6</v>
      </c>
      <c r="R110" s="6">
        <f t="shared" si="11"/>
        <v>9.0210400000000011</v>
      </c>
      <c r="S110" t="str">
        <f t="shared" si="12"/>
        <v>Alerta</v>
      </c>
    </row>
    <row r="111" spans="1:19" x14ac:dyDescent="0.3">
      <c r="A111" t="s">
        <v>163</v>
      </c>
      <c r="B111" t="s">
        <v>14</v>
      </c>
      <c r="C111" s="5">
        <f>VLOOKUP(A111,Dim!A:B,2,0)</f>
        <v>8.77</v>
      </c>
      <c r="D111" s="1">
        <v>0.15160000000000001</v>
      </c>
      <c r="E111" s="1">
        <v>0.188</v>
      </c>
      <c r="F111">
        <v>0.93</v>
      </c>
      <c r="G111" s="2">
        <v>393110000</v>
      </c>
      <c r="H111" s="2">
        <v>1014210</v>
      </c>
      <c r="I111">
        <v>0</v>
      </c>
      <c r="J111">
        <v>0</v>
      </c>
      <c r="K111">
        <v>0</v>
      </c>
      <c r="L111" s="1">
        <v>0</v>
      </c>
      <c r="M111" s="1">
        <v>0</v>
      </c>
      <c r="N111" s="4">
        <f t="shared" si="7"/>
        <v>1.5666666666666666E-2</v>
      </c>
      <c r="O111" s="5">
        <f t="shared" si="8"/>
        <v>0.13739666666666664</v>
      </c>
      <c r="P111">
        <f t="shared" si="9"/>
        <v>65</v>
      </c>
      <c r="Q111" s="6">
        <f t="shared" si="10"/>
        <v>570.04999999999995</v>
      </c>
      <c r="R111" s="6">
        <f t="shared" si="11"/>
        <v>8.9307833333333324</v>
      </c>
      <c r="S111" t="str">
        <f t="shared" si="12"/>
        <v>Alerta</v>
      </c>
    </row>
    <row r="112" spans="1:19" x14ac:dyDescent="0.3">
      <c r="A112" t="s">
        <v>321</v>
      </c>
      <c r="B112" t="s">
        <v>14</v>
      </c>
      <c r="C112" s="5">
        <f>VLOOKUP(A112,Dim!A:B,2,0)</f>
        <v>8.8000000000000007</v>
      </c>
      <c r="D112" s="1">
        <v>0.12720000000000001</v>
      </c>
      <c r="E112" s="1">
        <v>0.14610000000000001</v>
      </c>
      <c r="F112">
        <v>0.86</v>
      </c>
      <c r="G112" s="2">
        <v>972027000</v>
      </c>
      <c r="H112" s="2">
        <v>2714810</v>
      </c>
      <c r="I112">
        <v>1</v>
      </c>
      <c r="J112" s="3">
        <v>1612.61</v>
      </c>
      <c r="K112">
        <v>107.23</v>
      </c>
      <c r="L112" s="1">
        <v>6.6500000000000004E-2</v>
      </c>
      <c r="M112" s="1">
        <v>0.35849999999999999</v>
      </c>
      <c r="N112" s="4">
        <f t="shared" si="7"/>
        <v>1.2175E-2</v>
      </c>
      <c r="O112" s="5">
        <f t="shared" si="8"/>
        <v>0.10714000000000001</v>
      </c>
      <c r="P112">
        <f t="shared" si="9"/>
        <v>84</v>
      </c>
      <c r="Q112" s="6">
        <f t="shared" si="10"/>
        <v>739.2</v>
      </c>
      <c r="R112" s="6">
        <f t="shared" si="11"/>
        <v>8.999760000000002</v>
      </c>
      <c r="S112" t="str">
        <f t="shared" si="12"/>
        <v>Alerta</v>
      </c>
    </row>
    <row r="113" spans="1:19" x14ac:dyDescent="0.3">
      <c r="A113" t="s">
        <v>339</v>
      </c>
      <c r="B113" t="s">
        <v>14</v>
      </c>
      <c r="C113" s="5">
        <f>VLOOKUP(A113,Dim!A:B,2,0)</f>
        <v>8.33</v>
      </c>
      <c r="D113" s="1">
        <v>0.15359999999999999</v>
      </c>
      <c r="E113" s="1">
        <v>0.1452</v>
      </c>
      <c r="F113">
        <v>0.85</v>
      </c>
      <c r="G113" s="2">
        <v>33377500</v>
      </c>
      <c r="H113" s="2">
        <v>2979</v>
      </c>
      <c r="I113">
        <v>0</v>
      </c>
      <c r="J113">
        <v>0</v>
      </c>
      <c r="K113">
        <v>0</v>
      </c>
      <c r="L113" s="1">
        <v>0</v>
      </c>
      <c r="M113" s="1">
        <v>0</v>
      </c>
      <c r="N113" s="4">
        <f t="shared" si="7"/>
        <v>1.21E-2</v>
      </c>
      <c r="O113" s="5">
        <f t="shared" si="8"/>
        <v>0.10079299999999999</v>
      </c>
      <c r="P113">
        <f t="shared" si="9"/>
        <v>84</v>
      </c>
      <c r="Q113" s="6">
        <f t="shared" si="10"/>
        <v>699.72</v>
      </c>
      <c r="R113" s="6">
        <f t="shared" si="11"/>
        <v>8.4666119999999996</v>
      </c>
      <c r="S113" t="str">
        <f t="shared" si="12"/>
        <v>Bom</v>
      </c>
    </row>
    <row r="114" spans="1:19" x14ac:dyDescent="0.3">
      <c r="A114" t="s">
        <v>447</v>
      </c>
      <c r="B114" t="s">
        <v>19</v>
      </c>
      <c r="C114" s="5">
        <f>VLOOKUP(A114,Dim!A:B,2,0)</f>
        <v>0</v>
      </c>
      <c r="D114" s="1">
        <v>0.1341</v>
      </c>
      <c r="E114" s="1">
        <v>0.1381</v>
      </c>
      <c r="F114">
        <v>0.89</v>
      </c>
      <c r="G114" s="2">
        <v>133497000</v>
      </c>
      <c r="H114" s="2">
        <v>161503</v>
      </c>
      <c r="I114">
        <v>0</v>
      </c>
      <c r="J114">
        <v>0</v>
      </c>
      <c r="K114">
        <v>0</v>
      </c>
      <c r="L114" s="1">
        <v>0</v>
      </c>
      <c r="M114" s="1">
        <v>0</v>
      </c>
      <c r="N114" s="4">
        <f t="shared" si="7"/>
        <v>1.1508333333333334E-2</v>
      </c>
      <c r="O114" s="5">
        <f t="shared" si="8"/>
        <v>0</v>
      </c>
      <c r="P114" t="e">
        <f t="shared" si="9"/>
        <v>#DIV/0!</v>
      </c>
      <c r="Q114" s="6" t="e">
        <f t="shared" si="10"/>
        <v>#DIV/0!</v>
      </c>
      <c r="R114" s="6" t="e">
        <f t="shared" si="11"/>
        <v>#DIV/0!</v>
      </c>
      <c r="S114" t="str">
        <f t="shared" si="12"/>
        <v>Alerta</v>
      </c>
    </row>
    <row r="115" spans="1:19" x14ac:dyDescent="0.3">
      <c r="A115" t="s">
        <v>89</v>
      </c>
      <c r="B115" t="s">
        <v>14</v>
      </c>
      <c r="C115" s="5">
        <f>VLOOKUP(A115,Dim!A:B,2,0)</f>
        <v>8.48</v>
      </c>
      <c r="D115" s="1">
        <v>9.7500000000000003E-2</v>
      </c>
      <c r="E115" s="1">
        <v>0.1187</v>
      </c>
      <c r="F115">
        <v>0.85</v>
      </c>
      <c r="G115" s="2">
        <v>1759990000</v>
      </c>
      <c r="H115" s="2">
        <v>3028780</v>
      </c>
      <c r="I115">
        <v>0</v>
      </c>
      <c r="J115">
        <v>0</v>
      </c>
      <c r="K115">
        <v>0</v>
      </c>
      <c r="L115" s="1">
        <v>0</v>
      </c>
      <c r="M115" s="1">
        <v>0</v>
      </c>
      <c r="N115" s="4">
        <f t="shared" si="7"/>
        <v>9.8916666666666667E-3</v>
      </c>
      <c r="O115" s="5">
        <f t="shared" si="8"/>
        <v>8.3881333333333336E-2</v>
      </c>
      <c r="P115">
        <f t="shared" si="9"/>
        <v>103</v>
      </c>
      <c r="Q115" s="6">
        <f t="shared" si="10"/>
        <v>873.44</v>
      </c>
      <c r="R115" s="6">
        <f t="shared" si="11"/>
        <v>8.639777333333333</v>
      </c>
      <c r="S115" t="str">
        <f t="shared" si="12"/>
        <v>Alerta</v>
      </c>
    </row>
    <row r="116" spans="1:19" x14ac:dyDescent="0.3">
      <c r="A116" t="s">
        <v>276</v>
      </c>
      <c r="B116" t="s">
        <v>19</v>
      </c>
      <c r="C116" s="5">
        <f>VLOOKUP(A116,Dim!A:B,2,0)</f>
        <v>8.51</v>
      </c>
      <c r="D116" s="1">
        <v>0.1426</v>
      </c>
      <c r="E116" s="1">
        <v>0.1399</v>
      </c>
      <c r="F116">
        <v>0.91</v>
      </c>
      <c r="G116" s="2">
        <v>307440000</v>
      </c>
      <c r="H116" s="2">
        <v>391214</v>
      </c>
      <c r="I116">
        <v>0</v>
      </c>
      <c r="J116">
        <v>0</v>
      </c>
      <c r="K116">
        <v>0</v>
      </c>
      <c r="L116" s="1">
        <v>0</v>
      </c>
      <c r="M116" s="1">
        <v>0</v>
      </c>
      <c r="N116" s="4">
        <f t="shared" si="7"/>
        <v>1.1658333333333333E-2</v>
      </c>
      <c r="O116" s="5">
        <f t="shared" si="8"/>
        <v>9.9212416666666664E-2</v>
      </c>
      <c r="P116">
        <f t="shared" si="9"/>
        <v>87</v>
      </c>
      <c r="Q116" s="6">
        <f t="shared" si="10"/>
        <v>740.37</v>
      </c>
      <c r="R116" s="6">
        <f t="shared" si="11"/>
        <v>8.6314802499999992</v>
      </c>
      <c r="S116" t="str">
        <f t="shared" si="12"/>
        <v>Bom</v>
      </c>
    </row>
    <row r="117" spans="1:19" x14ac:dyDescent="0.3">
      <c r="A117" t="s">
        <v>139</v>
      </c>
      <c r="B117" t="s">
        <v>28</v>
      </c>
      <c r="C117" s="5">
        <f>VLOOKUP(A117,Dim!A:B,2,0)</f>
        <v>650.35</v>
      </c>
      <c r="D117" s="1">
        <v>0.12130000000000001</v>
      </c>
      <c r="E117" s="1">
        <v>0.1278</v>
      </c>
      <c r="F117">
        <v>0.99</v>
      </c>
      <c r="G117" s="2">
        <v>43187100</v>
      </c>
      <c r="H117">
        <v>0</v>
      </c>
      <c r="I117">
        <v>2</v>
      </c>
      <c r="J117" s="3">
        <v>2464.3200000000002</v>
      </c>
      <c r="K117">
        <v>584.28</v>
      </c>
      <c r="L117" s="1">
        <v>0.23710000000000001</v>
      </c>
      <c r="M117" s="1">
        <v>0.36</v>
      </c>
      <c r="N117" s="4">
        <f t="shared" si="7"/>
        <v>1.065E-2</v>
      </c>
      <c r="O117" s="5">
        <f t="shared" si="8"/>
        <v>6.9262275000000004</v>
      </c>
      <c r="P117">
        <f t="shared" si="9"/>
        <v>95</v>
      </c>
      <c r="Q117" s="6">
        <f t="shared" si="10"/>
        <v>61783.25</v>
      </c>
      <c r="R117" s="6">
        <f t="shared" si="11"/>
        <v>657.99161250000009</v>
      </c>
      <c r="S117" t="str">
        <f t="shared" si="12"/>
        <v>Alerta</v>
      </c>
    </row>
    <row r="118" spans="1:19" x14ac:dyDescent="0.3">
      <c r="A118" t="s">
        <v>466</v>
      </c>
      <c r="B118" t="s">
        <v>14</v>
      </c>
      <c r="C118" s="5">
        <f>VLOOKUP(A118,Dim!A:B,2,0)</f>
        <v>8.42</v>
      </c>
      <c r="D118" s="1">
        <v>4.9099999999999998E-2</v>
      </c>
      <c r="E118" s="1">
        <v>0.1394</v>
      </c>
      <c r="F118">
        <v>1.05</v>
      </c>
      <c r="G118" s="2">
        <v>340794000</v>
      </c>
      <c r="H118" s="2">
        <v>1576860</v>
      </c>
      <c r="I118">
        <v>1</v>
      </c>
      <c r="J118">
        <v>0</v>
      </c>
      <c r="K118">
        <v>0</v>
      </c>
      <c r="L118" s="1">
        <v>9.4200000000000006E-2</v>
      </c>
      <c r="M118" s="1">
        <v>0</v>
      </c>
      <c r="N118" s="4">
        <f t="shared" si="7"/>
        <v>1.1616666666666666E-2</v>
      </c>
      <c r="O118" s="5">
        <f t="shared" si="8"/>
        <v>9.7812333333333321E-2</v>
      </c>
      <c r="P118">
        <f t="shared" si="9"/>
        <v>88</v>
      </c>
      <c r="Q118" s="6">
        <f t="shared" si="10"/>
        <v>740.96</v>
      </c>
      <c r="R118" s="6">
        <f t="shared" si="11"/>
        <v>8.607485333333333</v>
      </c>
      <c r="S118" t="str">
        <f t="shared" si="12"/>
        <v>Alerta</v>
      </c>
    </row>
    <row r="119" spans="1:19" x14ac:dyDescent="0.3">
      <c r="A119" t="s">
        <v>235</v>
      </c>
      <c r="B119" t="s">
        <v>19</v>
      </c>
      <c r="C119" s="5">
        <f>VLOOKUP(A119,Dim!A:B,2,0)</f>
        <v>8.4</v>
      </c>
      <c r="D119" s="1">
        <v>0.1183</v>
      </c>
      <c r="E119" s="1">
        <v>0.1205</v>
      </c>
      <c r="F119">
        <v>0.98</v>
      </c>
      <c r="G119" s="2">
        <v>438813000</v>
      </c>
      <c r="H119" s="2">
        <v>203420</v>
      </c>
      <c r="I119">
        <v>0</v>
      </c>
      <c r="J119">
        <v>0</v>
      </c>
      <c r="K119">
        <v>0</v>
      </c>
      <c r="L119" s="1">
        <v>0</v>
      </c>
      <c r="M119" s="1">
        <v>0</v>
      </c>
      <c r="N119" s="4">
        <f t="shared" si="7"/>
        <v>1.0041666666666666E-2</v>
      </c>
      <c r="O119" s="5">
        <f t="shared" si="8"/>
        <v>8.4349999999999994E-2</v>
      </c>
      <c r="P119">
        <f t="shared" si="9"/>
        <v>101</v>
      </c>
      <c r="Q119" s="6">
        <f t="shared" si="10"/>
        <v>848.40000000000009</v>
      </c>
      <c r="R119" s="6">
        <f t="shared" si="11"/>
        <v>8.5193499999999993</v>
      </c>
      <c r="S119" t="str">
        <f t="shared" si="12"/>
        <v>Alerta</v>
      </c>
    </row>
    <row r="120" spans="1:19" x14ac:dyDescent="0.3">
      <c r="A120" t="s">
        <v>534</v>
      </c>
      <c r="B120" t="s">
        <v>19</v>
      </c>
      <c r="C120" s="5">
        <f>VLOOKUP(A120,Dim!A:B,2,0)</f>
        <v>8.9600000000000009</v>
      </c>
      <c r="D120" s="1">
        <v>0.13980000000000001</v>
      </c>
      <c r="E120" s="1">
        <v>0.12659999999999999</v>
      </c>
      <c r="F120">
        <v>0.92</v>
      </c>
      <c r="G120" s="2">
        <v>273884000</v>
      </c>
      <c r="H120" s="2">
        <v>257219</v>
      </c>
      <c r="I120">
        <v>1</v>
      </c>
      <c r="J120" s="3">
        <v>5236.78</v>
      </c>
      <c r="K120">
        <v>0</v>
      </c>
      <c r="L120" s="1">
        <v>0</v>
      </c>
      <c r="M120" s="1">
        <v>0</v>
      </c>
      <c r="N120" s="4">
        <f t="shared" si="7"/>
        <v>1.0549999999999999E-2</v>
      </c>
      <c r="O120" s="5">
        <f t="shared" si="8"/>
        <v>9.4528000000000001E-2</v>
      </c>
      <c r="P120">
        <f t="shared" si="9"/>
        <v>96</v>
      </c>
      <c r="Q120" s="6">
        <f t="shared" si="10"/>
        <v>860.16000000000008</v>
      </c>
      <c r="R120" s="6">
        <f t="shared" si="11"/>
        <v>9.0746880000000001</v>
      </c>
      <c r="S120" t="str">
        <f t="shared" si="12"/>
        <v>Bom</v>
      </c>
    </row>
    <row r="121" spans="1:19" x14ac:dyDescent="0.3">
      <c r="A121" t="s">
        <v>144</v>
      </c>
      <c r="B121" t="s">
        <v>37</v>
      </c>
      <c r="C121" s="5">
        <f>VLOOKUP(A121,Dim!A:B,2,0)</f>
        <v>139.99</v>
      </c>
      <c r="D121" s="1">
        <v>0.12970000000000001</v>
      </c>
      <c r="E121" s="1">
        <v>0.1043</v>
      </c>
      <c r="F121">
        <v>0.62</v>
      </c>
      <c r="G121" s="2">
        <v>30680000</v>
      </c>
      <c r="H121" s="2">
        <v>41639</v>
      </c>
      <c r="I121">
        <v>1</v>
      </c>
      <c r="J121" s="3">
        <v>86255.1</v>
      </c>
      <c r="K121" s="3">
        <v>13824.09</v>
      </c>
      <c r="L121" s="1">
        <v>0.1603</v>
      </c>
      <c r="M121" s="1">
        <v>1.0004999999999999</v>
      </c>
      <c r="N121" s="4">
        <f t="shared" si="7"/>
        <v>8.691666666666667E-3</v>
      </c>
      <c r="O121" s="5">
        <f t="shared" si="8"/>
        <v>1.2167464166666668</v>
      </c>
      <c r="P121">
        <f t="shared" si="9"/>
        <v>117</v>
      </c>
      <c r="Q121" s="6">
        <f t="shared" si="10"/>
        <v>16378.830000000002</v>
      </c>
      <c r="R121" s="6">
        <f t="shared" si="11"/>
        <v>142.35933075000003</v>
      </c>
      <c r="S121" t="str">
        <f t="shared" si="12"/>
        <v>Bom</v>
      </c>
    </row>
    <row r="122" spans="1:19" x14ac:dyDescent="0.3">
      <c r="A122" t="s">
        <v>36</v>
      </c>
      <c r="B122" t="s">
        <v>37</v>
      </c>
      <c r="C122" s="5">
        <f>VLOOKUP(A122,Dim!A:B,2,0)</f>
        <v>8.4</v>
      </c>
      <c r="D122" s="1">
        <v>0.13469999999999999</v>
      </c>
      <c r="E122" s="1">
        <v>0.13800000000000001</v>
      </c>
      <c r="F122">
        <v>0.86</v>
      </c>
      <c r="G122" s="2">
        <v>38881100</v>
      </c>
      <c r="H122" s="2">
        <v>16310</v>
      </c>
      <c r="I122">
        <v>3</v>
      </c>
      <c r="J122" s="3">
        <v>16474.2</v>
      </c>
      <c r="K122" s="3">
        <v>1113.5899999999999</v>
      </c>
      <c r="L122" s="1">
        <v>6.7599999999999993E-2</v>
      </c>
      <c r="M122" s="1">
        <v>0</v>
      </c>
      <c r="N122" s="4">
        <f t="shared" si="7"/>
        <v>1.1500000000000002E-2</v>
      </c>
      <c r="O122" s="5">
        <f t="shared" si="8"/>
        <v>9.6600000000000019E-2</v>
      </c>
      <c r="P122">
        <f t="shared" si="9"/>
        <v>88</v>
      </c>
      <c r="Q122" s="6">
        <f t="shared" si="10"/>
        <v>739.2</v>
      </c>
      <c r="R122" s="6">
        <f t="shared" si="11"/>
        <v>8.5008000000000017</v>
      </c>
      <c r="S122" t="str">
        <f t="shared" si="12"/>
        <v>Alerta</v>
      </c>
    </row>
    <row r="123" spans="1:19" x14ac:dyDescent="0.3">
      <c r="A123" t="s">
        <v>146</v>
      </c>
      <c r="B123" t="s">
        <v>23</v>
      </c>
      <c r="C123" s="5">
        <f>VLOOKUP(A123,Dim!A:B,2,0)</f>
        <v>92.2</v>
      </c>
      <c r="D123" s="1">
        <v>0.13689999999999999</v>
      </c>
      <c r="E123" s="1">
        <v>0.14549999999999999</v>
      </c>
      <c r="F123">
        <v>0.93</v>
      </c>
      <c r="G123" s="2">
        <v>289733000</v>
      </c>
      <c r="H123" s="2">
        <v>596764</v>
      </c>
      <c r="I123">
        <v>0</v>
      </c>
      <c r="J123">
        <v>0</v>
      </c>
      <c r="K123">
        <v>0</v>
      </c>
      <c r="L123" s="1">
        <v>0</v>
      </c>
      <c r="M123" s="1">
        <v>0</v>
      </c>
      <c r="N123" s="4">
        <f t="shared" si="7"/>
        <v>1.2124999999999999E-2</v>
      </c>
      <c r="O123" s="5">
        <f t="shared" si="8"/>
        <v>1.1179249999999998</v>
      </c>
      <c r="P123">
        <f t="shared" si="9"/>
        <v>84</v>
      </c>
      <c r="Q123" s="6">
        <f t="shared" si="10"/>
        <v>7744.8</v>
      </c>
      <c r="R123" s="6">
        <f t="shared" si="11"/>
        <v>93.905699999999982</v>
      </c>
      <c r="S123" t="str">
        <f t="shared" si="12"/>
        <v>Alerta</v>
      </c>
    </row>
    <row r="124" spans="1:19" x14ac:dyDescent="0.3">
      <c r="A124" t="s">
        <v>147</v>
      </c>
      <c r="B124" t="s">
        <v>19</v>
      </c>
      <c r="C124" s="5">
        <f>VLOOKUP(A124,Dim!A:B,2,0)</f>
        <v>103.49</v>
      </c>
      <c r="D124" s="1">
        <v>3.3700000000000001E-2</v>
      </c>
      <c r="E124" s="1">
        <v>5.4399999999999997E-2</v>
      </c>
      <c r="F124">
        <v>1.02</v>
      </c>
      <c r="G124" s="2">
        <v>20866000</v>
      </c>
      <c r="H124">
        <v>881</v>
      </c>
      <c r="I124">
        <v>0</v>
      </c>
      <c r="J124">
        <v>0</v>
      </c>
      <c r="K124">
        <v>0</v>
      </c>
      <c r="L124" s="1">
        <v>0</v>
      </c>
      <c r="M124" s="1">
        <v>0</v>
      </c>
      <c r="N124" s="4">
        <f t="shared" si="7"/>
        <v>4.5333333333333328E-3</v>
      </c>
      <c r="O124" s="5">
        <f t="shared" si="8"/>
        <v>0.46915466666666661</v>
      </c>
      <c r="P124">
        <f t="shared" si="9"/>
        <v>222</v>
      </c>
      <c r="Q124" s="6">
        <f t="shared" si="10"/>
        <v>22974.78</v>
      </c>
      <c r="R124" s="6">
        <f t="shared" si="11"/>
        <v>104.15233599999999</v>
      </c>
      <c r="S124" t="str">
        <f t="shared" si="12"/>
        <v>Alerta</v>
      </c>
    </row>
    <row r="125" spans="1:19" x14ac:dyDescent="0.3">
      <c r="A125" t="s">
        <v>476</v>
      </c>
      <c r="B125" t="s">
        <v>14</v>
      </c>
      <c r="C125" s="5">
        <f>VLOOKUP(A125,Dim!A:B,2,0)</f>
        <v>8.42</v>
      </c>
      <c r="D125" s="1">
        <v>0.1227</v>
      </c>
      <c r="E125" s="1">
        <v>0.14149999999999999</v>
      </c>
      <c r="F125">
        <v>0.89</v>
      </c>
      <c r="G125" s="2">
        <v>170194000</v>
      </c>
      <c r="H125" s="2">
        <v>288562</v>
      </c>
      <c r="I125">
        <v>0</v>
      </c>
      <c r="J125">
        <v>0</v>
      </c>
      <c r="K125">
        <v>0</v>
      </c>
      <c r="L125" s="1">
        <v>0</v>
      </c>
      <c r="M125" s="1">
        <v>0</v>
      </c>
      <c r="N125" s="4">
        <f t="shared" si="7"/>
        <v>1.1791666666666666E-2</v>
      </c>
      <c r="O125" s="5">
        <f t="shared" si="8"/>
        <v>9.9285833333333323E-2</v>
      </c>
      <c r="P125">
        <f t="shared" si="9"/>
        <v>86</v>
      </c>
      <c r="Q125" s="6">
        <f t="shared" si="10"/>
        <v>724.12</v>
      </c>
      <c r="R125" s="6">
        <f t="shared" si="11"/>
        <v>8.5385816666666656</v>
      </c>
      <c r="S125" t="str">
        <f t="shared" si="12"/>
        <v>Alerta</v>
      </c>
    </row>
    <row r="126" spans="1:19" x14ac:dyDescent="0.3">
      <c r="A126" t="s">
        <v>409</v>
      </c>
      <c r="B126" t="s">
        <v>14</v>
      </c>
      <c r="C126" s="5">
        <f>VLOOKUP(A126,Dim!A:B,2,0)</f>
        <v>7.81</v>
      </c>
      <c r="D126" s="1">
        <v>0.1361</v>
      </c>
      <c r="E126" s="1">
        <v>0.1321</v>
      </c>
      <c r="F126">
        <v>0.8</v>
      </c>
      <c r="G126" s="2">
        <v>226319000</v>
      </c>
      <c r="H126" s="2">
        <v>588494</v>
      </c>
      <c r="I126">
        <v>1</v>
      </c>
      <c r="J126" s="3">
        <v>9132.7900000000009</v>
      </c>
      <c r="K126">
        <v>0</v>
      </c>
      <c r="L126" s="1">
        <v>0</v>
      </c>
      <c r="M126" s="1">
        <v>0</v>
      </c>
      <c r="N126" s="4">
        <f t="shared" si="7"/>
        <v>1.1008333333333334E-2</v>
      </c>
      <c r="O126" s="5">
        <f t="shared" si="8"/>
        <v>8.5975083333333327E-2</v>
      </c>
      <c r="P126">
        <f t="shared" si="9"/>
        <v>92</v>
      </c>
      <c r="Q126" s="6">
        <f t="shared" si="10"/>
        <v>718.52</v>
      </c>
      <c r="R126" s="6">
        <f t="shared" si="11"/>
        <v>7.9097076666666659</v>
      </c>
      <c r="S126" t="str">
        <f t="shared" si="12"/>
        <v>Bom</v>
      </c>
    </row>
    <row r="127" spans="1:19" x14ac:dyDescent="0.3">
      <c r="A127" t="s">
        <v>420</v>
      </c>
      <c r="B127" t="s">
        <v>19</v>
      </c>
      <c r="C127" s="5">
        <f>VLOOKUP(A127,Dim!A:B,2,0)</f>
        <v>8.49</v>
      </c>
      <c r="D127" s="1">
        <v>9.64E-2</v>
      </c>
      <c r="E127" s="1">
        <v>0.14180000000000001</v>
      </c>
      <c r="F127">
        <v>0.87</v>
      </c>
      <c r="G127" s="2">
        <v>70732400</v>
      </c>
      <c r="H127" s="2">
        <v>14854</v>
      </c>
      <c r="I127">
        <v>0</v>
      </c>
      <c r="J127">
        <v>0</v>
      </c>
      <c r="K127">
        <v>0</v>
      </c>
      <c r="L127" s="1">
        <v>0</v>
      </c>
      <c r="M127" s="1">
        <v>0</v>
      </c>
      <c r="N127" s="4">
        <f t="shared" si="7"/>
        <v>1.1816666666666668E-2</v>
      </c>
      <c r="O127" s="5">
        <f t="shared" si="8"/>
        <v>0.10032350000000001</v>
      </c>
      <c r="P127">
        <f t="shared" si="9"/>
        <v>86</v>
      </c>
      <c r="Q127" s="6">
        <f t="shared" si="10"/>
        <v>730.14</v>
      </c>
      <c r="R127" s="6">
        <f t="shared" si="11"/>
        <v>8.6278210000000009</v>
      </c>
      <c r="S127" t="str">
        <f t="shared" si="12"/>
        <v>Alerta</v>
      </c>
    </row>
    <row r="128" spans="1:19" x14ac:dyDescent="0.3">
      <c r="A128" t="s">
        <v>368</v>
      </c>
      <c r="B128" t="s">
        <v>19</v>
      </c>
      <c r="C128" s="5">
        <f>VLOOKUP(A128,Dim!A:B,2,0)</f>
        <v>8.31</v>
      </c>
      <c r="D128" s="1">
        <v>8.9300000000000004E-2</v>
      </c>
      <c r="E128" s="1">
        <v>0.1396</v>
      </c>
      <c r="F128">
        <v>0.56000000000000005</v>
      </c>
      <c r="G128" s="2">
        <v>7853920</v>
      </c>
      <c r="H128" s="2">
        <v>1227</v>
      </c>
      <c r="I128">
        <v>0</v>
      </c>
      <c r="J128">
        <v>0</v>
      </c>
      <c r="K128">
        <v>0</v>
      </c>
      <c r="L128" s="1">
        <v>0</v>
      </c>
      <c r="M128" s="1">
        <v>0</v>
      </c>
      <c r="N128" s="4">
        <f t="shared" si="7"/>
        <v>1.1633333333333334E-2</v>
      </c>
      <c r="O128" s="5">
        <f t="shared" si="8"/>
        <v>9.6673000000000009E-2</v>
      </c>
      <c r="P128">
        <f t="shared" si="9"/>
        <v>87</v>
      </c>
      <c r="Q128" s="6">
        <f t="shared" si="10"/>
        <v>722.97</v>
      </c>
      <c r="R128" s="6">
        <f t="shared" si="11"/>
        <v>8.4105510000000017</v>
      </c>
      <c r="S128" t="str">
        <f t="shared" si="12"/>
        <v>Alerta</v>
      </c>
    </row>
    <row r="129" spans="1:19" x14ac:dyDescent="0.3">
      <c r="A129" t="s">
        <v>152</v>
      </c>
      <c r="B129" t="s">
        <v>37</v>
      </c>
      <c r="C129" s="5">
        <f>VLOOKUP(A129,Dim!A:B,2,0)</f>
        <v>76000</v>
      </c>
      <c r="D129" s="1">
        <v>-8.9999999999999998E-4</v>
      </c>
      <c r="E129" s="1">
        <v>0</v>
      </c>
      <c r="F129">
        <v>5.0999999999999996</v>
      </c>
      <c r="G129" s="2">
        <v>180576000</v>
      </c>
      <c r="H129">
        <v>0</v>
      </c>
      <c r="I129">
        <v>0</v>
      </c>
      <c r="J129">
        <v>0</v>
      </c>
      <c r="K129">
        <v>0</v>
      </c>
      <c r="L129" s="1">
        <v>0</v>
      </c>
      <c r="M129" s="1">
        <v>0</v>
      </c>
      <c r="N129" s="4">
        <f t="shared" si="7"/>
        <v>0</v>
      </c>
      <c r="O129" s="5">
        <f t="shared" si="8"/>
        <v>0</v>
      </c>
      <c r="P129" t="e">
        <f t="shared" si="9"/>
        <v>#DIV/0!</v>
      </c>
      <c r="Q129" s="6" t="e">
        <f t="shared" si="10"/>
        <v>#DIV/0!</v>
      </c>
      <c r="R129" s="6" t="e">
        <f t="shared" si="11"/>
        <v>#DIV/0!</v>
      </c>
      <c r="S129" t="str">
        <f t="shared" si="12"/>
        <v>Alerta</v>
      </c>
    </row>
    <row r="130" spans="1:19" x14ac:dyDescent="0.3">
      <c r="A130" t="s">
        <v>153</v>
      </c>
      <c r="B130" t="s">
        <v>19</v>
      </c>
      <c r="C130" s="5">
        <f>VLOOKUP(A130,Dim!A:B,2,0)</f>
        <v>125</v>
      </c>
      <c r="D130" s="1">
        <v>6.0600000000000001E-2</v>
      </c>
      <c r="E130" s="1">
        <v>8.5199999999999998E-2</v>
      </c>
      <c r="F130">
        <v>0.78</v>
      </c>
      <c r="G130" s="2">
        <v>62610200</v>
      </c>
      <c r="H130" s="2">
        <v>20951</v>
      </c>
      <c r="I130">
        <v>1</v>
      </c>
      <c r="J130" s="3">
        <v>18520.8</v>
      </c>
      <c r="K130" s="3">
        <v>1295.33</v>
      </c>
      <c r="L130" s="1">
        <v>6.9900000000000004E-2</v>
      </c>
      <c r="M130" s="1">
        <v>0</v>
      </c>
      <c r="N130" s="4">
        <f t="shared" ref="N130:N193" si="13">E130/12</f>
        <v>7.0999999999999995E-3</v>
      </c>
      <c r="O130" s="5">
        <f t="shared" ref="O130:O193" si="14">N130*C130</f>
        <v>0.88749999999999996</v>
      </c>
      <c r="P130">
        <f t="shared" ref="P130:P193" si="15">ROUNDUP((C130/O130),0)+1</f>
        <v>142</v>
      </c>
      <c r="Q130" s="6">
        <f t="shared" ref="Q130:Q193" si="16">P130*C130</f>
        <v>17750</v>
      </c>
      <c r="R130" s="6">
        <f t="shared" ref="R130:R193" si="17">P130*O130</f>
        <v>126.02499999999999</v>
      </c>
      <c r="S130" t="str">
        <f t="shared" si="12"/>
        <v>Alerta</v>
      </c>
    </row>
    <row r="131" spans="1:19" x14ac:dyDescent="0.3">
      <c r="A131" t="s">
        <v>154</v>
      </c>
      <c r="B131" t="s">
        <v>47</v>
      </c>
      <c r="C131" s="5">
        <f>VLOOKUP(A131,Dim!A:B,2,0)</f>
        <v>274</v>
      </c>
      <c r="D131" s="1">
        <v>9.1399999999999995E-2</v>
      </c>
      <c r="E131" s="1">
        <v>8.6900000000000005E-2</v>
      </c>
      <c r="F131">
        <v>0.8</v>
      </c>
      <c r="G131" s="2">
        <v>100975000</v>
      </c>
      <c r="H131" s="2">
        <v>43296</v>
      </c>
      <c r="I131">
        <v>7</v>
      </c>
      <c r="J131">
        <v>854.86</v>
      </c>
      <c r="K131">
        <v>85.57</v>
      </c>
      <c r="L131" s="1">
        <v>0.10009999999999999</v>
      </c>
      <c r="M131" s="1">
        <v>0</v>
      </c>
      <c r="N131" s="4">
        <f t="shared" si="13"/>
        <v>7.2416666666666671E-3</v>
      </c>
      <c r="O131" s="5">
        <f t="shared" si="14"/>
        <v>1.9842166666666667</v>
      </c>
      <c r="P131">
        <f t="shared" si="15"/>
        <v>140</v>
      </c>
      <c r="Q131" s="6">
        <f t="shared" si="16"/>
        <v>38360</v>
      </c>
      <c r="R131" s="6">
        <f t="shared" si="17"/>
        <v>277.79033333333336</v>
      </c>
      <c r="S131" t="str">
        <f t="shared" si="12"/>
        <v>Bom</v>
      </c>
    </row>
    <row r="132" spans="1:19" x14ac:dyDescent="0.3">
      <c r="A132" t="s">
        <v>26</v>
      </c>
      <c r="B132" t="s">
        <v>14</v>
      </c>
      <c r="C132" s="5">
        <f>VLOOKUP(A132,Dim!A:B,2,0)</f>
        <v>8.14</v>
      </c>
      <c r="D132" s="1">
        <v>8.3799999999999999E-2</v>
      </c>
      <c r="E132" s="1">
        <v>0.12540000000000001</v>
      </c>
      <c r="F132">
        <v>0.78</v>
      </c>
      <c r="G132" s="2">
        <v>146985000</v>
      </c>
      <c r="H132" s="2">
        <v>1091020</v>
      </c>
      <c r="I132">
        <v>0</v>
      </c>
      <c r="J132">
        <v>0</v>
      </c>
      <c r="K132">
        <v>0</v>
      </c>
      <c r="L132" s="1">
        <v>0</v>
      </c>
      <c r="M132" s="1">
        <v>0</v>
      </c>
      <c r="N132" s="4">
        <f t="shared" si="13"/>
        <v>1.0450000000000001E-2</v>
      </c>
      <c r="O132" s="5">
        <f t="shared" si="14"/>
        <v>8.5063000000000014E-2</v>
      </c>
      <c r="P132">
        <f t="shared" si="15"/>
        <v>97</v>
      </c>
      <c r="Q132" s="6">
        <f t="shared" si="16"/>
        <v>789.58</v>
      </c>
      <c r="R132" s="6">
        <f t="shared" si="17"/>
        <v>8.2511110000000016</v>
      </c>
      <c r="S132" t="str">
        <f t="shared" si="12"/>
        <v>Alerta</v>
      </c>
    </row>
    <row r="133" spans="1:19" x14ac:dyDescent="0.3">
      <c r="A133" t="s">
        <v>199</v>
      </c>
      <c r="B133" t="s">
        <v>47</v>
      </c>
      <c r="C133" s="5">
        <f>VLOOKUP(A133,Dim!A:B,2,0)</f>
        <v>8.24</v>
      </c>
      <c r="D133" s="1">
        <v>0.152</v>
      </c>
      <c r="E133" s="1">
        <v>0.1525</v>
      </c>
      <c r="F133">
        <v>0.86</v>
      </c>
      <c r="G133" s="2">
        <v>202787000</v>
      </c>
      <c r="H133" s="2">
        <v>301099</v>
      </c>
      <c r="I133">
        <v>1</v>
      </c>
      <c r="J133" s="3">
        <v>44040.6</v>
      </c>
      <c r="K133" s="3">
        <v>5780.54</v>
      </c>
      <c r="L133" s="1">
        <v>0.1313</v>
      </c>
      <c r="M133" s="1">
        <v>0</v>
      </c>
      <c r="N133" s="4">
        <f t="shared" si="13"/>
        <v>1.2708333333333334E-2</v>
      </c>
      <c r="O133" s="5">
        <f t="shared" si="14"/>
        <v>0.10471666666666667</v>
      </c>
      <c r="P133">
        <f t="shared" si="15"/>
        <v>80</v>
      </c>
      <c r="Q133" s="6">
        <f t="shared" si="16"/>
        <v>659.2</v>
      </c>
      <c r="R133" s="6">
        <f t="shared" si="17"/>
        <v>8.3773333333333326</v>
      </c>
      <c r="S133" t="str">
        <f t="shared" ref="S133:S196" si="18">IF(D133&gt;E133,"Bom",IF(D133=E133,"netro","Alerta"))</f>
        <v>Alerta</v>
      </c>
    </row>
    <row r="134" spans="1:19" x14ac:dyDescent="0.3">
      <c r="A134" t="s">
        <v>157</v>
      </c>
      <c r="B134" t="s">
        <v>14</v>
      </c>
      <c r="C134" s="5">
        <f>VLOOKUP(A134,Dim!A:B,2,0)</f>
        <v>149.99</v>
      </c>
      <c r="D134" s="1">
        <v>0.1333</v>
      </c>
      <c r="E134" s="1">
        <v>0.1331</v>
      </c>
      <c r="F134">
        <v>0.66</v>
      </c>
      <c r="G134" s="2">
        <v>101087000</v>
      </c>
      <c r="H134" s="2">
        <v>58410</v>
      </c>
      <c r="I134">
        <v>4</v>
      </c>
      <c r="J134" s="3">
        <v>2199.4299999999998</v>
      </c>
      <c r="K134">
        <v>309.55</v>
      </c>
      <c r="L134" s="1">
        <v>0.14069999999999999</v>
      </c>
      <c r="M134" s="1">
        <v>0</v>
      </c>
      <c r="N134" s="4">
        <f t="shared" si="13"/>
        <v>1.1091666666666666E-2</v>
      </c>
      <c r="O134" s="5">
        <f t="shared" si="14"/>
        <v>1.6636390833333334</v>
      </c>
      <c r="P134">
        <f t="shared" si="15"/>
        <v>92</v>
      </c>
      <c r="Q134" s="6">
        <f t="shared" si="16"/>
        <v>13799.080000000002</v>
      </c>
      <c r="R134" s="6">
        <f t="shared" si="17"/>
        <v>153.05479566666668</v>
      </c>
      <c r="S134" t="str">
        <f t="shared" si="18"/>
        <v>Bom</v>
      </c>
    </row>
    <row r="135" spans="1:19" x14ac:dyDescent="0.3">
      <c r="A135" t="s">
        <v>158</v>
      </c>
      <c r="B135" t="s">
        <v>14</v>
      </c>
      <c r="C135" s="5">
        <f>VLOOKUP(A135,Dim!A:B,2,0)</f>
        <v>896.01</v>
      </c>
      <c r="D135" s="1">
        <v>1.3281000000000001</v>
      </c>
      <c r="E135" s="1">
        <v>0.41249999999999998</v>
      </c>
      <c r="F135">
        <v>0.51</v>
      </c>
      <c r="G135" s="2">
        <v>113958000</v>
      </c>
      <c r="H135" s="2">
        <v>88698</v>
      </c>
      <c r="I135">
        <v>1</v>
      </c>
      <c r="J135" s="3">
        <v>1902.55</v>
      </c>
      <c r="K135">
        <v>44.82</v>
      </c>
      <c r="L135" s="1">
        <v>2.3599999999999999E-2</v>
      </c>
      <c r="M135" s="1">
        <v>0.98019999999999996</v>
      </c>
      <c r="N135" s="4">
        <f t="shared" si="13"/>
        <v>3.4374999999999996E-2</v>
      </c>
      <c r="O135" s="5">
        <f t="shared" si="14"/>
        <v>30.800343749999996</v>
      </c>
      <c r="P135">
        <f t="shared" si="15"/>
        <v>31</v>
      </c>
      <c r="Q135" s="6">
        <f t="shared" si="16"/>
        <v>27776.31</v>
      </c>
      <c r="R135" s="6">
        <f t="shared" si="17"/>
        <v>954.81065624999985</v>
      </c>
      <c r="S135" t="str">
        <f t="shared" si="18"/>
        <v>Bom</v>
      </c>
    </row>
    <row r="136" spans="1:19" x14ac:dyDescent="0.3">
      <c r="A136" t="s">
        <v>159</v>
      </c>
      <c r="B136" t="s">
        <v>19</v>
      </c>
      <c r="C136" s="5">
        <f>VLOOKUP(A136,Dim!A:B,2,0)</f>
        <v>84.14</v>
      </c>
      <c r="D136" s="1">
        <v>7.6700000000000004E-2</v>
      </c>
      <c r="E136" s="1">
        <v>6.3200000000000006E-2</v>
      </c>
      <c r="F136">
        <v>0.87</v>
      </c>
      <c r="G136" s="2">
        <v>412833000</v>
      </c>
      <c r="H136" s="2">
        <v>1061630</v>
      </c>
      <c r="I136">
        <v>54</v>
      </c>
      <c r="J136" s="3">
        <v>27723.4</v>
      </c>
      <c r="K136" s="3">
        <v>2347.94</v>
      </c>
      <c r="L136" s="1">
        <v>8.4699999999999998E-2</v>
      </c>
      <c r="M136" s="1">
        <v>2.1899999999999999E-2</v>
      </c>
      <c r="N136" s="4">
        <f t="shared" si="13"/>
        <v>5.2666666666666669E-3</v>
      </c>
      <c r="O136" s="5">
        <f t="shared" si="14"/>
        <v>0.44313733333333338</v>
      </c>
      <c r="P136">
        <f t="shared" si="15"/>
        <v>191</v>
      </c>
      <c r="Q136" s="6">
        <f t="shared" si="16"/>
        <v>16070.74</v>
      </c>
      <c r="R136" s="6">
        <f t="shared" si="17"/>
        <v>84.639230666666677</v>
      </c>
      <c r="S136" t="str">
        <f t="shared" si="18"/>
        <v>Bom</v>
      </c>
    </row>
    <row r="137" spans="1:19" x14ac:dyDescent="0.3">
      <c r="A137" t="s">
        <v>160</v>
      </c>
      <c r="B137" t="s">
        <v>14</v>
      </c>
      <c r="C137" s="5">
        <f>VLOOKUP(A137,Dim!A:B,2,0)</f>
        <v>126</v>
      </c>
      <c r="D137" s="1">
        <v>8.2000000000000003E-2</v>
      </c>
      <c r="E137" s="1">
        <v>8.1299999999999997E-2</v>
      </c>
      <c r="F137">
        <v>1.04</v>
      </c>
      <c r="G137" s="2">
        <v>446341000</v>
      </c>
      <c r="H137" s="2">
        <v>342276</v>
      </c>
      <c r="I137">
        <v>1</v>
      </c>
      <c r="J137" s="3">
        <v>14309.6</v>
      </c>
      <c r="K137" s="3">
        <v>1220.74</v>
      </c>
      <c r="L137" s="1">
        <v>8.5300000000000001E-2</v>
      </c>
      <c r="M137" s="1">
        <v>0</v>
      </c>
      <c r="N137" s="4">
        <f t="shared" si="13"/>
        <v>6.7749999999999998E-3</v>
      </c>
      <c r="O137" s="5">
        <f t="shared" si="14"/>
        <v>0.85365000000000002</v>
      </c>
      <c r="P137">
        <f t="shared" si="15"/>
        <v>149</v>
      </c>
      <c r="Q137" s="6">
        <f t="shared" si="16"/>
        <v>18774</v>
      </c>
      <c r="R137" s="6">
        <f t="shared" si="17"/>
        <v>127.19385</v>
      </c>
      <c r="S137" t="str">
        <f t="shared" si="18"/>
        <v>Bom</v>
      </c>
    </row>
    <row r="138" spans="1:19" x14ac:dyDescent="0.3">
      <c r="A138" t="s">
        <v>436</v>
      </c>
      <c r="B138" t="s">
        <v>23</v>
      </c>
      <c r="C138" s="5">
        <f>VLOOKUP(A138,Dim!A:B,2,0)</f>
        <v>8.19</v>
      </c>
      <c r="D138" s="1">
        <v>0.13089999999999999</v>
      </c>
      <c r="E138" s="1">
        <v>8.4199999999999997E-2</v>
      </c>
      <c r="F138">
        <v>0.8</v>
      </c>
      <c r="G138" s="2">
        <v>1311210000</v>
      </c>
      <c r="H138" s="2">
        <v>2005330</v>
      </c>
      <c r="I138">
        <v>0</v>
      </c>
      <c r="J138">
        <v>0</v>
      </c>
      <c r="K138">
        <v>0</v>
      </c>
      <c r="L138" s="1">
        <v>0</v>
      </c>
      <c r="M138" s="1">
        <v>0</v>
      </c>
      <c r="N138" s="4">
        <f t="shared" si="13"/>
        <v>7.0166666666666667E-3</v>
      </c>
      <c r="O138" s="5">
        <f t="shared" si="14"/>
        <v>5.7466499999999997E-2</v>
      </c>
      <c r="P138">
        <f t="shared" si="15"/>
        <v>144</v>
      </c>
      <c r="Q138" s="6">
        <f t="shared" si="16"/>
        <v>1179.3599999999999</v>
      </c>
      <c r="R138" s="6">
        <f t="shared" si="17"/>
        <v>8.2751760000000001</v>
      </c>
      <c r="S138" t="str">
        <f t="shared" si="18"/>
        <v>Bom</v>
      </c>
    </row>
    <row r="139" spans="1:19" x14ac:dyDescent="0.3">
      <c r="A139" t="s">
        <v>300</v>
      </c>
      <c r="B139" t="s">
        <v>37</v>
      </c>
      <c r="C139" s="5">
        <f>VLOOKUP(A139,Dim!A:B,2,0)</f>
        <v>8.16</v>
      </c>
      <c r="D139" s="1">
        <v>0.1386</v>
      </c>
      <c r="E139" s="1">
        <v>0.17979999999999999</v>
      </c>
      <c r="F139">
        <v>0.83</v>
      </c>
      <c r="G139" s="2">
        <v>309275000</v>
      </c>
      <c r="H139" s="2">
        <v>760999</v>
      </c>
      <c r="I139">
        <v>0</v>
      </c>
      <c r="J139">
        <v>0</v>
      </c>
      <c r="K139">
        <v>0</v>
      </c>
      <c r="L139" s="1">
        <v>0</v>
      </c>
      <c r="M139" s="1">
        <v>0</v>
      </c>
      <c r="N139" s="4">
        <f t="shared" si="13"/>
        <v>1.4983333333333333E-2</v>
      </c>
      <c r="O139" s="5">
        <f t="shared" si="14"/>
        <v>0.122264</v>
      </c>
      <c r="P139">
        <f t="shared" si="15"/>
        <v>68</v>
      </c>
      <c r="Q139" s="6">
        <f t="shared" si="16"/>
        <v>554.88</v>
      </c>
      <c r="R139" s="6">
        <f t="shared" si="17"/>
        <v>8.3139520000000005</v>
      </c>
      <c r="S139" t="str">
        <f t="shared" si="18"/>
        <v>Alerta</v>
      </c>
    </row>
    <row r="140" spans="1:19" x14ac:dyDescent="0.3">
      <c r="A140" t="s">
        <v>349</v>
      </c>
      <c r="B140" t="s">
        <v>14</v>
      </c>
      <c r="C140" s="5">
        <f>VLOOKUP(A140,Dim!A:B,2,0)</f>
        <v>8.16</v>
      </c>
      <c r="D140" s="1">
        <v>0.10489999999999999</v>
      </c>
      <c r="E140" s="1">
        <v>0.15049999999999999</v>
      </c>
      <c r="F140">
        <v>0.83</v>
      </c>
      <c r="G140" s="2">
        <v>73167300</v>
      </c>
      <c r="H140" s="2">
        <v>182562</v>
      </c>
      <c r="I140">
        <v>0</v>
      </c>
      <c r="J140">
        <v>0</v>
      </c>
      <c r="K140">
        <v>0</v>
      </c>
      <c r="L140" s="1">
        <v>0</v>
      </c>
      <c r="M140" s="1">
        <v>0</v>
      </c>
      <c r="N140" s="4">
        <f t="shared" si="13"/>
        <v>1.2541666666666666E-2</v>
      </c>
      <c r="O140" s="5">
        <f t="shared" si="14"/>
        <v>0.10234</v>
      </c>
      <c r="P140">
        <f t="shared" si="15"/>
        <v>81</v>
      </c>
      <c r="Q140" s="6">
        <f t="shared" si="16"/>
        <v>660.96</v>
      </c>
      <c r="R140" s="6">
        <f t="shared" si="17"/>
        <v>8.2895400000000006</v>
      </c>
      <c r="S140" t="str">
        <f t="shared" si="18"/>
        <v>Alerta</v>
      </c>
    </row>
    <row r="141" spans="1:19" x14ac:dyDescent="0.3">
      <c r="A141" t="s">
        <v>164</v>
      </c>
      <c r="B141" t="s">
        <v>16</v>
      </c>
      <c r="C141" s="5">
        <f>VLOOKUP(A141,Dim!A:B,2,0)</f>
        <v>48</v>
      </c>
      <c r="D141" s="1">
        <v>0.113</v>
      </c>
      <c r="E141" s="1">
        <v>0.11219999999999999</v>
      </c>
      <c r="F141">
        <v>0.63</v>
      </c>
      <c r="G141" s="2">
        <v>136800000</v>
      </c>
      <c r="H141" s="2">
        <v>121512</v>
      </c>
      <c r="I141">
        <v>2</v>
      </c>
      <c r="J141" s="3">
        <v>2075.27</v>
      </c>
      <c r="K141">
        <v>244.57</v>
      </c>
      <c r="L141" s="1">
        <v>0.1179</v>
      </c>
      <c r="M141" s="1">
        <v>7.9699999999999993E-2</v>
      </c>
      <c r="N141" s="4">
        <f t="shared" si="13"/>
        <v>9.3499999999999989E-3</v>
      </c>
      <c r="O141" s="5">
        <f t="shared" si="14"/>
        <v>0.44879999999999998</v>
      </c>
      <c r="P141">
        <f t="shared" si="15"/>
        <v>108</v>
      </c>
      <c r="Q141" s="6">
        <f t="shared" si="16"/>
        <v>5184</v>
      </c>
      <c r="R141" s="6">
        <f t="shared" si="17"/>
        <v>48.470399999999998</v>
      </c>
      <c r="S141" t="str">
        <f t="shared" si="18"/>
        <v>Bom</v>
      </c>
    </row>
    <row r="142" spans="1:19" x14ac:dyDescent="0.3">
      <c r="A142" t="s">
        <v>165</v>
      </c>
      <c r="B142" t="s">
        <v>47</v>
      </c>
      <c r="C142" s="5">
        <f>VLOOKUP(A142,Dim!A:B,2,0)</f>
        <v>494.35</v>
      </c>
      <c r="D142" s="1">
        <v>9.2299999999999993E-2</v>
      </c>
      <c r="E142" s="1">
        <v>9.8100000000000007E-2</v>
      </c>
      <c r="F142">
        <v>1.04</v>
      </c>
      <c r="G142" s="2">
        <v>339753000</v>
      </c>
      <c r="H142" s="2">
        <v>286618</v>
      </c>
      <c r="I142">
        <v>11</v>
      </c>
      <c r="J142">
        <v>612.07000000000005</v>
      </c>
      <c r="K142">
        <v>63.25</v>
      </c>
      <c r="L142" s="1">
        <v>0.1033</v>
      </c>
      <c r="M142" s="1">
        <v>0</v>
      </c>
      <c r="N142" s="4">
        <f t="shared" si="13"/>
        <v>8.175E-3</v>
      </c>
      <c r="O142" s="5">
        <f t="shared" si="14"/>
        <v>4.0413112500000006</v>
      </c>
      <c r="P142">
        <f t="shared" si="15"/>
        <v>124</v>
      </c>
      <c r="Q142" s="6">
        <f t="shared" si="16"/>
        <v>61299.4</v>
      </c>
      <c r="R142" s="6">
        <f t="shared" si="17"/>
        <v>501.12259500000005</v>
      </c>
      <c r="S142" t="str">
        <f t="shared" si="18"/>
        <v>Alerta</v>
      </c>
    </row>
    <row r="143" spans="1:19" x14ac:dyDescent="0.3">
      <c r="A143" t="s">
        <v>166</v>
      </c>
      <c r="B143" t="s">
        <v>14</v>
      </c>
      <c r="C143" s="5">
        <f>VLOOKUP(A143,Dim!A:B,2,0)</f>
        <v>152.94</v>
      </c>
      <c r="D143" s="1">
        <v>0.61399999999999999</v>
      </c>
      <c r="E143" s="1">
        <v>0.10829999999999999</v>
      </c>
      <c r="F143">
        <v>0.14000000000000001</v>
      </c>
      <c r="G143" s="2">
        <v>26241000</v>
      </c>
      <c r="H143" s="2">
        <v>218422</v>
      </c>
      <c r="I143">
        <v>7</v>
      </c>
      <c r="J143">
        <v>373.41</v>
      </c>
      <c r="K143">
        <v>266.62</v>
      </c>
      <c r="L143" s="1">
        <v>0.71399999999999997</v>
      </c>
      <c r="M143" s="1">
        <v>0</v>
      </c>
      <c r="N143" s="4">
        <f t="shared" si="13"/>
        <v>9.025E-3</v>
      </c>
      <c r="O143" s="5">
        <f t="shared" si="14"/>
        <v>1.3802835</v>
      </c>
      <c r="P143">
        <f t="shared" si="15"/>
        <v>112</v>
      </c>
      <c r="Q143" s="6">
        <f t="shared" si="16"/>
        <v>17129.28</v>
      </c>
      <c r="R143" s="6">
        <f t="shared" si="17"/>
        <v>154.59175199999999</v>
      </c>
      <c r="S143" t="str">
        <f t="shared" si="18"/>
        <v>Bom</v>
      </c>
    </row>
    <row r="144" spans="1:19" x14ac:dyDescent="0.3">
      <c r="A144" t="s">
        <v>167</v>
      </c>
      <c r="B144" t="s">
        <v>28</v>
      </c>
      <c r="C144" s="5">
        <f>VLOOKUP(A144,Dim!A:B,2,0)</f>
        <v>65</v>
      </c>
      <c r="D144" s="1">
        <v>9.0700000000000003E-2</v>
      </c>
      <c r="E144" s="1">
        <v>9.8599999999999993E-2</v>
      </c>
      <c r="F144">
        <v>0.53</v>
      </c>
      <c r="G144" s="2">
        <v>103071000</v>
      </c>
      <c r="H144" s="2">
        <v>4546</v>
      </c>
      <c r="I144">
        <v>4</v>
      </c>
      <c r="J144" s="3">
        <v>8232.02</v>
      </c>
      <c r="K144">
        <v>941.6</v>
      </c>
      <c r="L144" s="1">
        <v>0.1144</v>
      </c>
      <c r="M144" s="1">
        <v>0</v>
      </c>
      <c r="N144" s="4">
        <f t="shared" si="13"/>
        <v>8.2166666666666655E-3</v>
      </c>
      <c r="O144" s="5">
        <f t="shared" si="14"/>
        <v>0.53408333333333324</v>
      </c>
      <c r="P144">
        <f t="shared" si="15"/>
        <v>123</v>
      </c>
      <c r="Q144" s="6">
        <f t="shared" si="16"/>
        <v>7995</v>
      </c>
      <c r="R144" s="6">
        <f t="shared" si="17"/>
        <v>65.692249999999987</v>
      </c>
      <c r="S144" t="str">
        <f t="shared" si="18"/>
        <v>Alerta</v>
      </c>
    </row>
    <row r="145" spans="1:19" x14ac:dyDescent="0.3">
      <c r="A145" t="s">
        <v>419</v>
      </c>
      <c r="B145" t="s">
        <v>14</v>
      </c>
      <c r="C145" s="5">
        <f>VLOOKUP(A145,Dim!A:B,2,0)</f>
        <v>8.19</v>
      </c>
      <c r="D145" s="1">
        <v>0.10979999999999999</v>
      </c>
      <c r="E145" s="1">
        <v>0.1313</v>
      </c>
      <c r="F145">
        <v>0.99</v>
      </c>
      <c r="G145" s="2">
        <v>43848400</v>
      </c>
      <c r="H145">
        <v>395</v>
      </c>
      <c r="I145">
        <v>0</v>
      </c>
      <c r="J145">
        <v>0</v>
      </c>
      <c r="K145">
        <v>0</v>
      </c>
      <c r="L145" s="1">
        <v>0</v>
      </c>
      <c r="M145" s="1">
        <v>0</v>
      </c>
      <c r="N145" s="4">
        <f t="shared" si="13"/>
        <v>1.0941666666666667E-2</v>
      </c>
      <c r="O145" s="5">
        <f t="shared" si="14"/>
        <v>8.9612250000000004E-2</v>
      </c>
      <c r="P145">
        <f t="shared" si="15"/>
        <v>93</v>
      </c>
      <c r="Q145" s="6">
        <f t="shared" si="16"/>
        <v>761.67</v>
      </c>
      <c r="R145" s="6">
        <f t="shared" si="17"/>
        <v>8.3339392500000002</v>
      </c>
      <c r="S145" t="str">
        <f t="shared" si="18"/>
        <v>Alerta</v>
      </c>
    </row>
    <row r="146" spans="1:19" x14ac:dyDescent="0.3">
      <c r="A146" t="s">
        <v>274</v>
      </c>
      <c r="B146" t="s">
        <v>19</v>
      </c>
      <c r="C146" s="5">
        <f>VLOOKUP(A146,Dim!A:B,2,0)</f>
        <v>8.0500000000000007</v>
      </c>
      <c r="D146" s="1">
        <v>0.14119999999999999</v>
      </c>
      <c r="E146" s="1">
        <v>0.1414</v>
      </c>
      <c r="F146">
        <v>0.86</v>
      </c>
      <c r="G146" s="2">
        <v>177318000</v>
      </c>
      <c r="H146" s="2">
        <v>345889</v>
      </c>
      <c r="I146">
        <v>0</v>
      </c>
      <c r="J146">
        <v>0</v>
      </c>
      <c r="K146">
        <v>0</v>
      </c>
      <c r="L146" s="1">
        <v>0</v>
      </c>
      <c r="M146" s="1">
        <v>0</v>
      </c>
      <c r="N146" s="4">
        <f t="shared" si="13"/>
        <v>1.1783333333333333E-2</v>
      </c>
      <c r="O146" s="5">
        <f t="shared" si="14"/>
        <v>9.4855833333333334E-2</v>
      </c>
      <c r="P146">
        <f t="shared" si="15"/>
        <v>86</v>
      </c>
      <c r="Q146" s="6">
        <f t="shared" si="16"/>
        <v>692.30000000000007</v>
      </c>
      <c r="R146" s="6">
        <f t="shared" si="17"/>
        <v>8.1576016666666664</v>
      </c>
      <c r="S146" t="str">
        <f t="shared" si="18"/>
        <v>Alerta</v>
      </c>
    </row>
    <row r="147" spans="1:19" x14ac:dyDescent="0.3">
      <c r="A147" t="s">
        <v>170</v>
      </c>
      <c r="B147" t="s">
        <v>14</v>
      </c>
      <c r="C147" s="5">
        <f>VLOOKUP(A147,Dim!A:B,2,0)</f>
        <v>95</v>
      </c>
      <c r="D147" s="1">
        <v>0.1603</v>
      </c>
      <c r="E147" s="1">
        <v>0.14580000000000001</v>
      </c>
      <c r="F147">
        <v>1.01</v>
      </c>
      <c r="G147" s="2">
        <v>71500400</v>
      </c>
      <c r="H147" s="2">
        <v>65112</v>
      </c>
      <c r="I147">
        <v>0</v>
      </c>
      <c r="J147">
        <v>0</v>
      </c>
      <c r="K147">
        <v>0</v>
      </c>
      <c r="L147" s="1">
        <v>0</v>
      </c>
      <c r="M147" s="1">
        <v>0</v>
      </c>
      <c r="N147" s="4">
        <f t="shared" si="13"/>
        <v>1.2150000000000001E-2</v>
      </c>
      <c r="O147" s="5">
        <f t="shared" si="14"/>
        <v>1.15425</v>
      </c>
      <c r="P147">
        <f t="shared" si="15"/>
        <v>84</v>
      </c>
      <c r="Q147" s="6">
        <f t="shared" si="16"/>
        <v>7980</v>
      </c>
      <c r="R147" s="6">
        <f t="shared" si="17"/>
        <v>96.956999999999994</v>
      </c>
      <c r="S147" t="str">
        <f t="shared" si="18"/>
        <v>Bom</v>
      </c>
    </row>
    <row r="148" spans="1:19" x14ac:dyDescent="0.3">
      <c r="A148" t="s">
        <v>376</v>
      </c>
      <c r="B148" t="s">
        <v>19</v>
      </c>
      <c r="C148" s="5">
        <f>VLOOKUP(A148,Dim!A:B,2,0)</f>
        <v>8.07</v>
      </c>
      <c r="D148" s="1">
        <v>0.12959999999999999</v>
      </c>
      <c r="E148" s="1">
        <v>0.13569999999999999</v>
      </c>
      <c r="F148">
        <v>0.83</v>
      </c>
      <c r="G148" s="2">
        <v>297524000</v>
      </c>
      <c r="H148" s="2">
        <v>914867</v>
      </c>
      <c r="I148">
        <v>0</v>
      </c>
      <c r="J148">
        <v>0</v>
      </c>
      <c r="K148">
        <v>0</v>
      </c>
      <c r="L148" s="1">
        <v>0</v>
      </c>
      <c r="M148" s="1">
        <v>0</v>
      </c>
      <c r="N148" s="4">
        <f t="shared" si="13"/>
        <v>1.1308333333333332E-2</v>
      </c>
      <c r="O148" s="5">
        <f t="shared" si="14"/>
        <v>9.1258249999999985E-2</v>
      </c>
      <c r="P148">
        <f t="shared" si="15"/>
        <v>90</v>
      </c>
      <c r="Q148" s="6">
        <f t="shared" si="16"/>
        <v>726.30000000000007</v>
      </c>
      <c r="R148" s="6">
        <f t="shared" si="17"/>
        <v>8.213242499999998</v>
      </c>
      <c r="S148" t="str">
        <f t="shared" si="18"/>
        <v>Alerta</v>
      </c>
    </row>
    <row r="149" spans="1:19" x14ac:dyDescent="0.3">
      <c r="A149" t="s">
        <v>172</v>
      </c>
      <c r="B149" t="s">
        <v>28</v>
      </c>
      <c r="C149" s="5">
        <f>VLOOKUP(A149,Dim!A:B,2,0)</f>
        <v>145.88999999999999</v>
      </c>
      <c r="D149" s="1">
        <v>9.2299999999999993E-2</v>
      </c>
      <c r="E149" s="1">
        <v>8.7900000000000006E-2</v>
      </c>
      <c r="F149">
        <v>0.66</v>
      </c>
      <c r="G149" s="2">
        <v>200197000</v>
      </c>
      <c r="H149" s="2">
        <v>77556</v>
      </c>
      <c r="I149">
        <v>2</v>
      </c>
      <c r="J149" s="3">
        <v>17295</v>
      </c>
      <c r="K149" s="3">
        <v>1942.53</v>
      </c>
      <c r="L149" s="1">
        <v>0.1123</v>
      </c>
      <c r="M149" s="1">
        <v>0</v>
      </c>
      <c r="N149" s="4">
        <f t="shared" si="13"/>
        <v>7.3250000000000008E-3</v>
      </c>
      <c r="O149" s="5">
        <f t="shared" si="14"/>
        <v>1.06864425</v>
      </c>
      <c r="P149">
        <f t="shared" si="15"/>
        <v>138</v>
      </c>
      <c r="Q149" s="6">
        <f t="shared" si="16"/>
        <v>20132.82</v>
      </c>
      <c r="R149" s="6">
        <f t="shared" si="17"/>
        <v>147.47290649999999</v>
      </c>
      <c r="S149" t="str">
        <f t="shared" si="18"/>
        <v>Bom</v>
      </c>
    </row>
    <row r="150" spans="1:19" x14ac:dyDescent="0.3">
      <c r="A150" t="s">
        <v>366</v>
      </c>
      <c r="B150" t="s">
        <v>14</v>
      </c>
      <c r="C150" s="5">
        <f>VLOOKUP(A150,Dim!A:B,2,0)</f>
        <v>0</v>
      </c>
      <c r="D150" s="1">
        <v>0.12759999999999999</v>
      </c>
      <c r="E150" s="1">
        <v>0.1205</v>
      </c>
      <c r="F150">
        <v>0.95</v>
      </c>
      <c r="G150" s="2">
        <v>166835000</v>
      </c>
      <c r="H150">
        <v>0</v>
      </c>
      <c r="I150">
        <v>0</v>
      </c>
      <c r="J150">
        <v>0</v>
      </c>
      <c r="K150">
        <v>0</v>
      </c>
      <c r="L150" s="1">
        <v>0</v>
      </c>
      <c r="M150" s="1">
        <v>0</v>
      </c>
      <c r="N150" s="4">
        <f t="shared" si="13"/>
        <v>1.0041666666666666E-2</v>
      </c>
      <c r="O150" s="5">
        <f t="shared" si="14"/>
        <v>0</v>
      </c>
      <c r="P150" t="e">
        <f t="shared" si="15"/>
        <v>#DIV/0!</v>
      </c>
      <c r="Q150" s="6" t="e">
        <f t="shared" si="16"/>
        <v>#DIV/0!</v>
      </c>
      <c r="R150" s="6" t="e">
        <f t="shared" si="17"/>
        <v>#DIV/0!</v>
      </c>
      <c r="S150" t="str">
        <f t="shared" si="18"/>
        <v>Bom</v>
      </c>
    </row>
    <row r="151" spans="1:19" x14ac:dyDescent="0.3">
      <c r="A151" t="s">
        <v>174</v>
      </c>
      <c r="B151" t="s">
        <v>28</v>
      </c>
      <c r="C151" s="5">
        <f>VLOOKUP(A151,Dim!A:B,2,0)</f>
        <v>38.119999999999997</v>
      </c>
      <c r="D151" s="1">
        <v>4.5600000000000002E-2</v>
      </c>
      <c r="E151" s="1">
        <v>0.16109999999999999</v>
      </c>
      <c r="F151">
        <v>0.63</v>
      </c>
      <c r="G151" s="2">
        <v>37145500</v>
      </c>
      <c r="H151" s="2">
        <v>581478</v>
      </c>
      <c r="I151">
        <v>2</v>
      </c>
      <c r="J151" s="3">
        <v>2192.91</v>
      </c>
      <c r="K151">
        <v>181.14</v>
      </c>
      <c r="L151" s="1">
        <v>8.2600000000000007E-2</v>
      </c>
      <c r="M151" s="1">
        <v>0</v>
      </c>
      <c r="N151" s="4">
        <f t="shared" si="13"/>
        <v>1.3424999999999999E-2</v>
      </c>
      <c r="O151" s="5">
        <f t="shared" si="14"/>
        <v>0.51176099999999991</v>
      </c>
      <c r="P151">
        <f t="shared" si="15"/>
        <v>76</v>
      </c>
      <c r="Q151" s="6">
        <f t="shared" si="16"/>
        <v>2897.12</v>
      </c>
      <c r="R151" s="6">
        <f t="shared" si="17"/>
        <v>38.893835999999993</v>
      </c>
      <c r="S151" t="str">
        <f t="shared" si="18"/>
        <v>Alerta</v>
      </c>
    </row>
    <row r="152" spans="1:19" x14ac:dyDescent="0.3">
      <c r="A152" t="s">
        <v>175</v>
      </c>
      <c r="B152" t="s">
        <v>28</v>
      </c>
      <c r="C152" s="5">
        <f>VLOOKUP(A152,Dim!A:B,2,0)</f>
        <v>224.96</v>
      </c>
      <c r="D152" s="1">
        <v>6.5199999999999994E-2</v>
      </c>
      <c r="E152" s="1">
        <v>7.6200000000000004E-2</v>
      </c>
      <c r="F152">
        <v>0.57999999999999996</v>
      </c>
      <c r="G152" s="2">
        <v>156000000</v>
      </c>
      <c r="H152" s="2">
        <v>285523</v>
      </c>
      <c r="I152">
        <v>2</v>
      </c>
      <c r="J152" s="3">
        <v>4225.84</v>
      </c>
      <c r="K152">
        <v>386.54</v>
      </c>
      <c r="L152" s="1">
        <v>9.1499999999999998E-2</v>
      </c>
      <c r="M152" s="1">
        <v>0.19</v>
      </c>
      <c r="N152" s="4">
        <f t="shared" si="13"/>
        <v>6.3500000000000006E-3</v>
      </c>
      <c r="O152" s="5">
        <f t="shared" si="14"/>
        <v>1.4284960000000002</v>
      </c>
      <c r="P152">
        <f t="shared" si="15"/>
        <v>159</v>
      </c>
      <c r="Q152" s="6">
        <f t="shared" si="16"/>
        <v>35768.639999999999</v>
      </c>
      <c r="R152" s="6">
        <f t="shared" si="17"/>
        <v>227.13086400000003</v>
      </c>
      <c r="S152" t="str">
        <f t="shared" si="18"/>
        <v>Alerta</v>
      </c>
    </row>
    <row r="153" spans="1:19" x14ac:dyDescent="0.3">
      <c r="A153" t="s">
        <v>176</v>
      </c>
      <c r="B153" t="s">
        <v>19</v>
      </c>
      <c r="C153" s="5">
        <f>VLOOKUP(A153,Dim!A:B,2,0)</f>
        <v>385.15</v>
      </c>
      <c r="D153" s="1">
        <v>8.0999999999999996E-3</v>
      </c>
      <c r="E153" s="1">
        <v>1.24E-2</v>
      </c>
      <c r="F153">
        <v>1.83</v>
      </c>
      <c r="G153" s="2">
        <v>1172180000</v>
      </c>
      <c r="H153">
        <v>359</v>
      </c>
      <c r="I153">
        <v>9</v>
      </c>
      <c r="J153" s="3">
        <v>36435.5</v>
      </c>
      <c r="K153">
        <v>531.04999999999995</v>
      </c>
      <c r="L153" s="1">
        <v>1.46E-2</v>
      </c>
      <c r="M153" s="1">
        <v>8.0999999999999996E-3</v>
      </c>
      <c r="N153" s="4">
        <f t="shared" si="13"/>
        <v>1.0333333333333334E-3</v>
      </c>
      <c r="O153" s="5">
        <f t="shared" si="14"/>
        <v>0.39798833333333333</v>
      </c>
      <c r="P153">
        <f t="shared" si="15"/>
        <v>969</v>
      </c>
      <c r="Q153" s="6">
        <f t="shared" si="16"/>
        <v>373210.35</v>
      </c>
      <c r="R153" s="6">
        <f t="shared" si="17"/>
        <v>385.65069499999998</v>
      </c>
      <c r="S153" t="str">
        <f t="shared" si="18"/>
        <v>Alerta</v>
      </c>
    </row>
    <row r="154" spans="1:19" x14ac:dyDescent="0.3">
      <c r="A154" t="s">
        <v>511</v>
      </c>
      <c r="B154" t="s">
        <v>14</v>
      </c>
      <c r="C154" s="5">
        <f>VLOOKUP(A154,Dim!A:B,2,0)</f>
        <v>8.25</v>
      </c>
      <c r="D154" s="1">
        <v>0.18240000000000001</v>
      </c>
      <c r="E154" s="1">
        <v>0.1963</v>
      </c>
      <c r="F154">
        <v>0.75</v>
      </c>
      <c r="G154" s="2">
        <v>278423000</v>
      </c>
      <c r="H154" s="2">
        <v>485727</v>
      </c>
      <c r="I154">
        <v>5</v>
      </c>
      <c r="J154" s="3">
        <v>5104.38</v>
      </c>
      <c r="K154" s="3">
        <v>1027.81</v>
      </c>
      <c r="L154" s="1">
        <v>0.2014</v>
      </c>
      <c r="M154" s="1">
        <v>0</v>
      </c>
      <c r="N154" s="4">
        <f t="shared" si="13"/>
        <v>1.6358333333333332E-2</v>
      </c>
      <c r="O154" s="5">
        <f t="shared" si="14"/>
        <v>0.13495625</v>
      </c>
      <c r="P154">
        <f t="shared" si="15"/>
        <v>63</v>
      </c>
      <c r="Q154" s="6">
        <f t="shared" si="16"/>
        <v>519.75</v>
      </c>
      <c r="R154" s="6">
        <f t="shared" si="17"/>
        <v>8.5022437499999999</v>
      </c>
      <c r="S154" t="str">
        <f t="shared" si="18"/>
        <v>Alerta</v>
      </c>
    </row>
    <row r="155" spans="1:19" x14ac:dyDescent="0.3">
      <c r="A155" t="s">
        <v>182</v>
      </c>
      <c r="B155" t="s">
        <v>14</v>
      </c>
      <c r="C155" s="5">
        <f>VLOOKUP(A155,Dim!A:B,2,0)</f>
        <v>7.84</v>
      </c>
      <c r="D155" s="1">
        <v>0.15260000000000001</v>
      </c>
      <c r="E155" s="1">
        <v>8.9300000000000004E-2</v>
      </c>
      <c r="F155">
        <v>0.82</v>
      </c>
      <c r="G155" s="2">
        <v>121029000</v>
      </c>
      <c r="H155" s="2">
        <v>154435</v>
      </c>
      <c r="I155">
        <v>0</v>
      </c>
      <c r="J155">
        <v>0</v>
      </c>
      <c r="K155">
        <v>0</v>
      </c>
      <c r="L155" s="1">
        <v>0</v>
      </c>
      <c r="M155" s="1">
        <v>0</v>
      </c>
      <c r="N155" s="4">
        <f t="shared" si="13"/>
        <v>7.4416666666666667E-3</v>
      </c>
      <c r="O155" s="5">
        <f t="shared" si="14"/>
        <v>5.8342666666666668E-2</v>
      </c>
      <c r="P155">
        <f t="shared" si="15"/>
        <v>136</v>
      </c>
      <c r="Q155" s="6">
        <f t="shared" si="16"/>
        <v>1066.24</v>
      </c>
      <c r="R155" s="6">
        <f t="shared" si="17"/>
        <v>7.9346026666666667</v>
      </c>
      <c r="S155" t="str">
        <f t="shared" si="18"/>
        <v>Bom</v>
      </c>
    </row>
    <row r="156" spans="1:19" x14ac:dyDescent="0.3">
      <c r="A156" t="s">
        <v>179</v>
      </c>
      <c r="B156" t="s">
        <v>19</v>
      </c>
      <c r="C156" s="5">
        <f>VLOOKUP(A156,Dim!A:B,2,0)</f>
        <v>2894.66</v>
      </c>
      <c r="D156" s="1">
        <v>-8.0000000000000002E-3</v>
      </c>
      <c r="E156" s="1">
        <v>2.5399999999999999E-2</v>
      </c>
      <c r="F156">
        <v>1</v>
      </c>
      <c r="G156" s="2">
        <v>3799980000</v>
      </c>
      <c r="H156">
        <v>64</v>
      </c>
      <c r="I156">
        <v>79</v>
      </c>
      <c r="J156" s="3">
        <v>2384.9299999999998</v>
      </c>
      <c r="K156">
        <v>48.11</v>
      </c>
      <c r="L156" s="1">
        <v>2.0199999999999999E-2</v>
      </c>
      <c r="M156" s="1">
        <v>1E-4</v>
      </c>
      <c r="N156" s="4">
        <f t="shared" si="13"/>
        <v>2.1166666666666664E-3</v>
      </c>
      <c r="O156" s="5">
        <f t="shared" si="14"/>
        <v>6.127030333333332</v>
      </c>
      <c r="P156">
        <f t="shared" si="15"/>
        <v>474</v>
      </c>
      <c r="Q156" s="6">
        <f t="shared" si="16"/>
        <v>1372068.8399999999</v>
      </c>
      <c r="R156" s="6">
        <f t="shared" si="17"/>
        <v>2904.2123779999993</v>
      </c>
      <c r="S156" t="str">
        <f t="shared" si="18"/>
        <v>Alerta</v>
      </c>
    </row>
    <row r="157" spans="1:19" x14ac:dyDescent="0.3">
      <c r="A157" t="s">
        <v>151</v>
      </c>
      <c r="B157" t="s">
        <v>14</v>
      </c>
      <c r="C157" s="5">
        <f>VLOOKUP(A157,Dim!A:B,2,0)</f>
        <v>7.79</v>
      </c>
      <c r="D157" s="1">
        <v>0.13639999999999999</v>
      </c>
      <c r="E157" s="1">
        <v>0.1482</v>
      </c>
      <c r="F157">
        <v>0.83</v>
      </c>
      <c r="G157" s="2">
        <v>86074500</v>
      </c>
      <c r="H157" s="2">
        <v>97737</v>
      </c>
      <c r="I157">
        <v>0</v>
      </c>
      <c r="J157">
        <v>0</v>
      </c>
      <c r="K157">
        <v>0</v>
      </c>
      <c r="L157" s="1">
        <v>0</v>
      </c>
      <c r="M157" s="1">
        <v>0</v>
      </c>
      <c r="N157" s="4">
        <f t="shared" si="13"/>
        <v>1.235E-2</v>
      </c>
      <c r="O157" s="5">
        <f t="shared" si="14"/>
        <v>9.62065E-2</v>
      </c>
      <c r="P157">
        <f t="shared" si="15"/>
        <v>82</v>
      </c>
      <c r="Q157" s="6">
        <f t="shared" si="16"/>
        <v>638.78</v>
      </c>
      <c r="R157" s="6">
        <f t="shared" si="17"/>
        <v>7.8889329999999998</v>
      </c>
      <c r="S157" t="str">
        <f t="shared" si="18"/>
        <v>Alerta</v>
      </c>
    </row>
    <row r="158" spans="1:19" x14ac:dyDescent="0.3">
      <c r="A158" t="s">
        <v>181</v>
      </c>
      <c r="B158" t="s">
        <v>16</v>
      </c>
      <c r="C158" s="5">
        <f>VLOOKUP(A158,Dim!A:B,2,0)</f>
        <v>70.13</v>
      </c>
      <c r="D158" s="1">
        <v>9.6000000000000002E-2</v>
      </c>
      <c r="E158" s="1">
        <v>8.4900000000000003E-2</v>
      </c>
      <c r="F158">
        <v>0.41</v>
      </c>
      <c r="G158" s="2">
        <v>182066000</v>
      </c>
      <c r="H158" s="2">
        <v>33311</v>
      </c>
      <c r="I158">
        <v>1</v>
      </c>
      <c r="J158" s="3">
        <v>3143.49</v>
      </c>
      <c r="K158">
        <v>769.29</v>
      </c>
      <c r="L158" s="1">
        <v>0.2447</v>
      </c>
      <c r="M158" s="1">
        <v>0.11700000000000001</v>
      </c>
      <c r="N158" s="4">
        <f t="shared" si="13"/>
        <v>7.0750000000000006E-3</v>
      </c>
      <c r="O158" s="5">
        <f t="shared" si="14"/>
        <v>0.49616975000000002</v>
      </c>
      <c r="P158">
        <f t="shared" si="15"/>
        <v>143</v>
      </c>
      <c r="Q158" s="6">
        <f t="shared" si="16"/>
        <v>10028.59</v>
      </c>
      <c r="R158" s="6">
        <f t="shared" si="17"/>
        <v>70.952274250000002</v>
      </c>
      <c r="S158" t="str">
        <f t="shared" si="18"/>
        <v>Bom</v>
      </c>
    </row>
    <row r="159" spans="1:19" x14ac:dyDescent="0.3">
      <c r="A159" t="s">
        <v>370</v>
      </c>
      <c r="B159" t="s">
        <v>14</v>
      </c>
      <c r="C159" s="5">
        <f>VLOOKUP(A159,Dim!A:B,2,0)</f>
        <v>7.84</v>
      </c>
      <c r="D159" s="1">
        <v>0.13300000000000001</v>
      </c>
      <c r="E159" s="1">
        <v>0.1411</v>
      </c>
      <c r="F159">
        <v>0.85</v>
      </c>
      <c r="G159" s="2">
        <v>116650000</v>
      </c>
      <c r="H159" s="2">
        <v>221484</v>
      </c>
      <c r="I159">
        <v>0</v>
      </c>
      <c r="J159">
        <v>0</v>
      </c>
      <c r="K159">
        <v>0</v>
      </c>
      <c r="L159" s="1">
        <v>0</v>
      </c>
      <c r="M159" s="1">
        <v>0</v>
      </c>
      <c r="N159" s="4">
        <f t="shared" si="13"/>
        <v>1.1758333333333334E-2</v>
      </c>
      <c r="O159" s="5">
        <f t="shared" si="14"/>
        <v>9.2185333333333341E-2</v>
      </c>
      <c r="P159">
        <f t="shared" si="15"/>
        <v>87</v>
      </c>
      <c r="Q159" s="6">
        <f t="shared" si="16"/>
        <v>682.08</v>
      </c>
      <c r="R159" s="6">
        <f t="shared" si="17"/>
        <v>8.0201240000000009</v>
      </c>
      <c r="S159" t="str">
        <f t="shared" si="18"/>
        <v>Alerta</v>
      </c>
    </row>
    <row r="160" spans="1:19" x14ac:dyDescent="0.3">
      <c r="A160" t="s">
        <v>183</v>
      </c>
      <c r="B160" t="s">
        <v>14</v>
      </c>
      <c r="C160" s="5">
        <f>VLOOKUP(A160,Dim!A:B,2,0)</f>
        <v>138.99</v>
      </c>
      <c r="D160" s="1">
        <v>3.2399999999999998E-2</v>
      </c>
      <c r="E160" s="1">
        <v>3.0499999999999999E-2</v>
      </c>
      <c r="F160">
        <v>0.72</v>
      </c>
      <c r="G160" s="2">
        <v>201500000</v>
      </c>
      <c r="H160">
        <v>956</v>
      </c>
      <c r="I160">
        <v>6</v>
      </c>
      <c r="J160">
        <v>2.2999999999999998</v>
      </c>
      <c r="K160">
        <v>0.09</v>
      </c>
      <c r="L160" s="1">
        <v>3.9199999999999999E-2</v>
      </c>
      <c r="M160" s="1">
        <v>0</v>
      </c>
      <c r="N160" s="4">
        <f t="shared" si="13"/>
        <v>2.5416666666666665E-3</v>
      </c>
      <c r="O160" s="5">
        <f t="shared" si="14"/>
        <v>0.35326625</v>
      </c>
      <c r="P160">
        <f t="shared" si="15"/>
        <v>395</v>
      </c>
      <c r="Q160" s="6">
        <f t="shared" si="16"/>
        <v>54901.05</v>
      </c>
      <c r="R160" s="6">
        <f t="shared" si="17"/>
        <v>139.54016874999999</v>
      </c>
      <c r="S160" t="str">
        <f t="shared" si="18"/>
        <v>Bom</v>
      </c>
    </row>
    <row r="161" spans="1:19" x14ac:dyDescent="0.3">
      <c r="A161" t="s">
        <v>184</v>
      </c>
      <c r="B161" t="s">
        <v>14</v>
      </c>
      <c r="C161" s="5">
        <f>VLOOKUP(A161,Dim!A:B,2,0)</f>
        <v>138.46</v>
      </c>
      <c r="D161" s="1">
        <v>2.8799999999999999E-2</v>
      </c>
      <c r="E161" s="1">
        <v>2.9399999999999999E-2</v>
      </c>
      <c r="F161">
        <v>0.78</v>
      </c>
      <c r="G161" s="2">
        <v>498456000</v>
      </c>
      <c r="H161" s="2">
        <v>10514</v>
      </c>
      <c r="I161">
        <v>40</v>
      </c>
      <c r="J161">
        <v>3.56</v>
      </c>
      <c r="K161">
        <v>0.13</v>
      </c>
      <c r="L161" s="1">
        <v>3.5400000000000001E-2</v>
      </c>
      <c r="M161" s="1">
        <v>0</v>
      </c>
      <c r="N161" s="4">
        <f t="shared" si="13"/>
        <v>2.4499999999999999E-3</v>
      </c>
      <c r="O161" s="5">
        <f t="shared" si="14"/>
        <v>0.339227</v>
      </c>
      <c r="P161">
        <f t="shared" si="15"/>
        <v>410</v>
      </c>
      <c r="Q161" s="6">
        <f t="shared" si="16"/>
        <v>56768.600000000006</v>
      </c>
      <c r="R161" s="6">
        <f t="shared" si="17"/>
        <v>139.08306999999999</v>
      </c>
      <c r="S161" t="str">
        <f t="shared" si="18"/>
        <v>Alerta</v>
      </c>
    </row>
    <row r="162" spans="1:19" x14ac:dyDescent="0.3">
      <c r="A162" t="s">
        <v>246</v>
      </c>
      <c r="B162" t="s">
        <v>14</v>
      </c>
      <c r="C162" s="5">
        <f>VLOOKUP(A162,Dim!A:B,2,0)</f>
        <v>7.69</v>
      </c>
      <c r="D162" s="1">
        <v>0.1182</v>
      </c>
      <c r="E162" s="1">
        <v>0.15740000000000001</v>
      </c>
      <c r="F162">
        <v>0.8</v>
      </c>
      <c r="G162" s="2">
        <v>81856200</v>
      </c>
      <c r="H162" s="2">
        <v>141187</v>
      </c>
      <c r="I162">
        <v>0</v>
      </c>
      <c r="J162">
        <v>0</v>
      </c>
      <c r="K162">
        <v>0</v>
      </c>
      <c r="L162" s="1">
        <v>0</v>
      </c>
      <c r="M162" s="1">
        <v>0</v>
      </c>
      <c r="N162" s="4">
        <f t="shared" si="13"/>
        <v>1.3116666666666667E-2</v>
      </c>
      <c r="O162" s="5">
        <f t="shared" si="14"/>
        <v>0.10086716666666667</v>
      </c>
      <c r="P162">
        <f t="shared" si="15"/>
        <v>78</v>
      </c>
      <c r="Q162" s="6">
        <f t="shared" si="16"/>
        <v>599.82000000000005</v>
      </c>
      <c r="R162" s="6">
        <f t="shared" si="17"/>
        <v>7.8676390000000005</v>
      </c>
      <c r="S162" t="str">
        <f t="shared" si="18"/>
        <v>Alerta</v>
      </c>
    </row>
    <row r="163" spans="1:19" x14ac:dyDescent="0.3">
      <c r="A163" t="s">
        <v>248</v>
      </c>
      <c r="B163" t="s">
        <v>47</v>
      </c>
      <c r="C163" s="5">
        <f>VLOOKUP(A163,Dim!A:B,2,0)</f>
        <v>7.9</v>
      </c>
      <c r="D163" s="1">
        <v>0.13650000000000001</v>
      </c>
      <c r="E163" s="1">
        <v>9.0399999999999994E-2</v>
      </c>
      <c r="F163">
        <v>0.87</v>
      </c>
      <c r="G163" s="2">
        <v>238125000</v>
      </c>
      <c r="H163" s="2">
        <v>15467</v>
      </c>
      <c r="I163">
        <v>24</v>
      </c>
      <c r="J163">
        <v>701.66</v>
      </c>
      <c r="K163">
        <v>116.09</v>
      </c>
      <c r="L163" s="1">
        <v>0.16539999999999999</v>
      </c>
      <c r="M163" s="1">
        <v>2.0999999999999999E-3</v>
      </c>
      <c r="N163" s="4">
        <f t="shared" si="13"/>
        <v>7.5333333333333329E-3</v>
      </c>
      <c r="O163" s="5">
        <f t="shared" si="14"/>
        <v>5.9513333333333335E-2</v>
      </c>
      <c r="P163">
        <f t="shared" si="15"/>
        <v>134</v>
      </c>
      <c r="Q163" s="6">
        <f t="shared" si="16"/>
        <v>1058.6000000000001</v>
      </c>
      <c r="R163" s="6">
        <f t="shared" si="17"/>
        <v>7.9747866666666667</v>
      </c>
      <c r="S163" t="str">
        <f t="shared" si="18"/>
        <v>Bom</v>
      </c>
    </row>
    <row r="164" spans="1:19" x14ac:dyDescent="0.3">
      <c r="A164" t="s">
        <v>132</v>
      </c>
      <c r="B164" t="s">
        <v>14</v>
      </c>
      <c r="C164" s="5">
        <f>VLOOKUP(A164,Dim!A:B,2,0)</f>
        <v>7.21</v>
      </c>
      <c r="D164" s="1">
        <v>0.11700000000000001</v>
      </c>
      <c r="E164" s="1">
        <v>0.11890000000000001</v>
      </c>
      <c r="F164">
        <v>0.94</v>
      </c>
      <c r="G164" s="2">
        <v>43133500</v>
      </c>
      <c r="H164" s="2">
        <v>40438</v>
      </c>
      <c r="I164">
        <v>0</v>
      </c>
      <c r="J164">
        <v>0</v>
      </c>
      <c r="K164">
        <v>0</v>
      </c>
      <c r="L164" s="1">
        <v>0</v>
      </c>
      <c r="M164" s="1">
        <v>0</v>
      </c>
      <c r="N164" s="4">
        <f t="shared" si="13"/>
        <v>9.9083333333333332E-3</v>
      </c>
      <c r="O164" s="5">
        <f t="shared" si="14"/>
        <v>7.1439083333333334E-2</v>
      </c>
      <c r="P164">
        <f t="shared" si="15"/>
        <v>102</v>
      </c>
      <c r="Q164" s="6">
        <f t="shared" si="16"/>
        <v>735.42</v>
      </c>
      <c r="R164" s="6">
        <f t="shared" si="17"/>
        <v>7.2867864999999998</v>
      </c>
      <c r="S164" t="str">
        <f t="shared" si="18"/>
        <v>Alerta</v>
      </c>
    </row>
    <row r="165" spans="1:19" x14ac:dyDescent="0.3">
      <c r="A165" t="s">
        <v>538</v>
      </c>
      <c r="B165" t="s">
        <v>19</v>
      </c>
      <c r="C165" s="5">
        <f>VLOOKUP(A165,Dim!A:B,2,0)</f>
        <v>7.98</v>
      </c>
      <c r="D165" s="1">
        <v>0.12759999999999999</v>
      </c>
      <c r="E165" s="1">
        <v>0.1145</v>
      </c>
      <c r="F165">
        <v>0.83</v>
      </c>
      <c r="G165" s="2">
        <v>363274000</v>
      </c>
      <c r="H165" s="2">
        <v>564063</v>
      </c>
      <c r="I165">
        <v>0</v>
      </c>
      <c r="J165">
        <v>0</v>
      </c>
      <c r="K165">
        <v>0</v>
      </c>
      <c r="L165" s="1">
        <v>0</v>
      </c>
      <c r="M165" s="1">
        <v>0</v>
      </c>
      <c r="N165" s="4">
        <f t="shared" si="13"/>
        <v>9.541666666666667E-3</v>
      </c>
      <c r="O165" s="5">
        <f t="shared" si="14"/>
        <v>7.6142500000000002E-2</v>
      </c>
      <c r="P165">
        <f t="shared" si="15"/>
        <v>106</v>
      </c>
      <c r="Q165" s="6">
        <f t="shared" si="16"/>
        <v>845.88</v>
      </c>
      <c r="R165" s="6">
        <f t="shared" si="17"/>
        <v>8.0711049999999993</v>
      </c>
      <c r="S165" t="str">
        <f t="shared" si="18"/>
        <v>Bom</v>
      </c>
    </row>
    <row r="166" spans="1:19" x14ac:dyDescent="0.3">
      <c r="A166" t="s">
        <v>189</v>
      </c>
      <c r="B166" t="s">
        <v>37</v>
      </c>
      <c r="C166" s="5">
        <f>VLOOKUP(A166,Dim!A:B,2,0)</f>
        <v>98.99</v>
      </c>
      <c r="D166" s="1">
        <v>-3.95E-2</v>
      </c>
      <c r="E166" s="1">
        <v>0</v>
      </c>
      <c r="F166">
        <v>0.94</v>
      </c>
      <c r="G166" s="2">
        <v>11185900</v>
      </c>
      <c r="H166" s="2">
        <v>3561</v>
      </c>
      <c r="I166">
        <v>5</v>
      </c>
      <c r="J166" s="3">
        <v>2386.96</v>
      </c>
      <c r="K166">
        <v>0</v>
      </c>
      <c r="L166" s="1">
        <v>0</v>
      </c>
      <c r="M166" s="1">
        <v>0</v>
      </c>
      <c r="N166" s="4">
        <f t="shared" si="13"/>
        <v>0</v>
      </c>
      <c r="O166" s="5">
        <f t="shared" si="14"/>
        <v>0</v>
      </c>
      <c r="P166" t="e">
        <f t="shared" si="15"/>
        <v>#DIV/0!</v>
      </c>
      <c r="Q166" s="6" t="e">
        <f t="shared" si="16"/>
        <v>#DIV/0!</v>
      </c>
      <c r="R166" s="6" t="e">
        <f t="shared" si="17"/>
        <v>#DIV/0!</v>
      </c>
      <c r="S166" t="str">
        <f t="shared" si="18"/>
        <v>Alerta</v>
      </c>
    </row>
    <row r="167" spans="1:19" x14ac:dyDescent="0.3">
      <c r="A167" t="s">
        <v>190</v>
      </c>
      <c r="B167" t="s">
        <v>19</v>
      </c>
      <c r="C167" s="5">
        <f>VLOOKUP(A167,Dim!A:B,2,0)</f>
        <v>49.6</v>
      </c>
      <c r="D167" s="1">
        <v>0.14230000000000001</v>
      </c>
      <c r="E167" s="1">
        <v>0.14799999999999999</v>
      </c>
      <c r="F167">
        <v>0.59</v>
      </c>
      <c r="G167" s="2">
        <v>87823400</v>
      </c>
      <c r="H167" s="2">
        <v>97033</v>
      </c>
      <c r="I167">
        <v>0</v>
      </c>
      <c r="J167">
        <v>0</v>
      </c>
      <c r="K167">
        <v>0</v>
      </c>
      <c r="L167" s="1">
        <v>0</v>
      </c>
      <c r="M167" s="1">
        <v>0</v>
      </c>
      <c r="N167" s="4">
        <f t="shared" si="13"/>
        <v>1.2333333333333333E-2</v>
      </c>
      <c r="O167" s="5">
        <f t="shared" si="14"/>
        <v>0.61173333333333335</v>
      </c>
      <c r="P167">
        <f t="shared" si="15"/>
        <v>83</v>
      </c>
      <c r="Q167" s="6">
        <f t="shared" si="16"/>
        <v>4116.8</v>
      </c>
      <c r="R167" s="6">
        <f t="shared" si="17"/>
        <v>50.77386666666667</v>
      </c>
      <c r="S167" t="str">
        <f t="shared" si="18"/>
        <v>Alerta</v>
      </c>
    </row>
    <row r="168" spans="1:19" x14ac:dyDescent="0.3">
      <c r="A168" t="s">
        <v>191</v>
      </c>
      <c r="B168" t="s">
        <v>14</v>
      </c>
      <c r="C168" s="5">
        <f>VLOOKUP(A168,Dim!A:B,2,0)</f>
        <v>62.8</v>
      </c>
      <c r="D168" s="1">
        <v>0.1583</v>
      </c>
      <c r="E168" s="1">
        <v>0.16059999999999999</v>
      </c>
      <c r="F168">
        <v>0.69</v>
      </c>
      <c r="G168" s="2">
        <v>92160100</v>
      </c>
      <c r="H168" s="2">
        <v>291051</v>
      </c>
      <c r="I168">
        <v>1</v>
      </c>
      <c r="J168" s="3">
        <v>1301.99</v>
      </c>
      <c r="K168">
        <v>0</v>
      </c>
      <c r="L168" s="1">
        <v>0</v>
      </c>
      <c r="M168" s="1">
        <v>0</v>
      </c>
      <c r="N168" s="4">
        <f t="shared" si="13"/>
        <v>1.3383333333333332E-2</v>
      </c>
      <c r="O168" s="5">
        <f t="shared" si="14"/>
        <v>0.84047333333333318</v>
      </c>
      <c r="P168">
        <f t="shared" si="15"/>
        <v>76</v>
      </c>
      <c r="Q168" s="6">
        <f t="shared" si="16"/>
        <v>4772.8</v>
      </c>
      <c r="R168" s="6">
        <f t="shared" si="17"/>
        <v>63.87597333333332</v>
      </c>
      <c r="S168" t="str">
        <f t="shared" si="18"/>
        <v>Alerta</v>
      </c>
    </row>
    <row r="169" spans="1:19" x14ac:dyDescent="0.3">
      <c r="A169" t="s">
        <v>29</v>
      </c>
      <c r="B169" t="s">
        <v>16</v>
      </c>
      <c r="C169" s="5">
        <f>VLOOKUP(A169,Dim!A:B,2,0)</f>
        <v>7.67</v>
      </c>
      <c r="D169" s="1">
        <v>0.1069</v>
      </c>
      <c r="E169" s="1">
        <v>9.8199999999999996E-2</v>
      </c>
      <c r="F169">
        <v>0.63</v>
      </c>
      <c r="G169" s="2">
        <v>242571000</v>
      </c>
      <c r="H169" s="2">
        <v>784835</v>
      </c>
      <c r="I169">
        <v>14</v>
      </c>
      <c r="J169">
        <v>548.74</v>
      </c>
      <c r="K169">
        <v>62.3</v>
      </c>
      <c r="L169" s="1">
        <v>0.1135</v>
      </c>
      <c r="M169" s="1">
        <v>3.3000000000000002E-2</v>
      </c>
      <c r="N169" s="4">
        <f t="shared" si="13"/>
        <v>8.1833333333333324E-3</v>
      </c>
      <c r="O169" s="5">
        <f t="shared" si="14"/>
        <v>6.2766166666666665E-2</v>
      </c>
      <c r="P169">
        <f t="shared" si="15"/>
        <v>124</v>
      </c>
      <c r="Q169" s="6">
        <f t="shared" si="16"/>
        <v>951.08</v>
      </c>
      <c r="R169" s="6">
        <f t="shared" si="17"/>
        <v>7.7830046666666668</v>
      </c>
      <c r="S169" t="str">
        <f t="shared" si="18"/>
        <v>Bom</v>
      </c>
    </row>
    <row r="170" spans="1:19" x14ac:dyDescent="0.3">
      <c r="A170" t="s">
        <v>193</v>
      </c>
      <c r="B170" t="s">
        <v>47</v>
      </c>
      <c r="C170" s="5">
        <f>VLOOKUP(A170,Dim!A:B,2,0)</f>
        <v>107.53</v>
      </c>
      <c r="D170" s="1">
        <v>-1.8E-3</v>
      </c>
      <c r="E170" s="1">
        <v>1.5E-3</v>
      </c>
      <c r="F170">
        <v>1.0900000000000001</v>
      </c>
      <c r="G170" s="2">
        <v>27310300</v>
      </c>
      <c r="H170" s="2">
        <v>19300</v>
      </c>
      <c r="I170">
        <v>0</v>
      </c>
      <c r="J170">
        <v>0</v>
      </c>
      <c r="K170">
        <v>0</v>
      </c>
      <c r="L170" s="1">
        <v>0</v>
      </c>
      <c r="M170" s="1">
        <v>0</v>
      </c>
      <c r="N170" s="4">
        <f t="shared" si="13"/>
        <v>1.25E-4</v>
      </c>
      <c r="O170" s="5">
        <f t="shared" si="14"/>
        <v>1.344125E-2</v>
      </c>
      <c r="P170">
        <f t="shared" si="15"/>
        <v>8001</v>
      </c>
      <c r="Q170" s="6">
        <f t="shared" si="16"/>
        <v>860347.53</v>
      </c>
      <c r="R170" s="6">
        <f t="shared" si="17"/>
        <v>107.54344125</v>
      </c>
      <c r="S170" t="str">
        <f t="shared" si="18"/>
        <v>Alerta</v>
      </c>
    </row>
    <row r="171" spans="1:19" x14ac:dyDescent="0.3">
      <c r="A171" t="s">
        <v>48</v>
      </c>
      <c r="B171" t="s">
        <v>47</v>
      </c>
      <c r="C171" s="5">
        <f>VLOOKUP(A171,Dim!A:B,2,0)</f>
        <v>7.65</v>
      </c>
      <c r="D171" s="1">
        <v>4.9399999999999999E-2</v>
      </c>
      <c r="E171" s="1">
        <v>0.13150000000000001</v>
      </c>
      <c r="F171">
        <v>0.9</v>
      </c>
      <c r="G171" s="2">
        <v>320709000</v>
      </c>
      <c r="H171" s="2">
        <v>517434</v>
      </c>
      <c r="I171">
        <v>1</v>
      </c>
      <c r="J171">
        <v>718.64</v>
      </c>
      <c r="K171">
        <v>44.52</v>
      </c>
      <c r="L171" s="1">
        <v>6.2E-2</v>
      </c>
      <c r="M171" s="1">
        <v>0</v>
      </c>
      <c r="N171" s="4">
        <f t="shared" si="13"/>
        <v>1.0958333333333334E-2</v>
      </c>
      <c r="O171" s="5">
        <f t="shared" si="14"/>
        <v>8.383125000000001E-2</v>
      </c>
      <c r="P171">
        <f t="shared" si="15"/>
        <v>93</v>
      </c>
      <c r="Q171" s="6">
        <f t="shared" si="16"/>
        <v>711.45</v>
      </c>
      <c r="R171" s="6">
        <f t="shared" si="17"/>
        <v>7.7963062500000007</v>
      </c>
      <c r="S171" t="str">
        <f t="shared" si="18"/>
        <v>Alerta</v>
      </c>
    </row>
    <row r="172" spans="1:19" x14ac:dyDescent="0.3">
      <c r="A172" t="s">
        <v>195</v>
      </c>
      <c r="B172" t="s">
        <v>19</v>
      </c>
      <c r="C172" s="5">
        <f>VLOOKUP(A172,Dim!A:B,2,0)</f>
        <v>99.66</v>
      </c>
      <c r="D172" s="1">
        <v>3.5000000000000003E-2</v>
      </c>
      <c r="E172" s="1">
        <v>5.0200000000000002E-2</v>
      </c>
      <c r="F172">
        <v>1</v>
      </c>
      <c r="G172" s="2">
        <v>35971400</v>
      </c>
      <c r="H172" s="2">
        <v>2839</v>
      </c>
      <c r="I172">
        <v>0</v>
      </c>
      <c r="J172">
        <v>0</v>
      </c>
      <c r="K172">
        <v>0</v>
      </c>
      <c r="L172" s="1">
        <v>0</v>
      </c>
      <c r="M172" s="1">
        <v>0</v>
      </c>
      <c r="N172" s="4">
        <f t="shared" si="13"/>
        <v>4.1833333333333332E-3</v>
      </c>
      <c r="O172" s="5">
        <f t="shared" si="14"/>
        <v>0.41691099999999998</v>
      </c>
      <c r="P172">
        <f t="shared" si="15"/>
        <v>241</v>
      </c>
      <c r="Q172" s="6">
        <f t="shared" si="16"/>
        <v>24018.059999999998</v>
      </c>
      <c r="R172" s="6">
        <f t="shared" si="17"/>
        <v>100.475551</v>
      </c>
      <c r="S172" t="str">
        <f t="shared" si="18"/>
        <v>Alerta</v>
      </c>
    </row>
    <row r="173" spans="1:19" x14ac:dyDescent="0.3">
      <c r="A173" t="s">
        <v>196</v>
      </c>
      <c r="B173" t="s">
        <v>47</v>
      </c>
      <c r="C173" s="5">
        <f>VLOOKUP(A173,Dim!A:B,2,0)</f>
        <v>68.95</v>
      </c>
      <c r="D173" s="1">
        <v>0.1053</v>
      </c>
      <c r="E173" s="1">
        <v>7.6100000000000001E-2</v>
      </c>
      <c r="F173">
        <v>0.61</v>
      </c>
      <c r="G173" s="2">
        <v>50115000</v>
      </c>
      <c r="H173" s="2">
        <v>84936</v>
      </c>
      <c r="I173">
        <v>1</v>
      </c>
      <c r="J173">
        <v>697.32</v>
      </c>
      <c r="K173">
        <v>100.72</v>
      </c>
      <c r="L173" s="1">
        <v>0.1444</v>
      </c>
      <c r="M173" s="1">
        <v>0</v>
      </c>
      <c r="N173" s="4">
        <f t="shared" si="13"/>
        <v>6.3416666666666665E-3</v>
      </c>
      <c r="O173" s="5">
        <f t="shared" si="14"/>
        <v>0.43725791666666669</v>
      </c>
      <c r="P173">
        <f t="shared" si="15"/>
        <v>159</v>
      </c>
      <c r="Q173" s="6">
        <f t="shared" si="16"/>
        <v>10963.050000000001</v>
      </c>
      <c r="R173" s="6">
        <f t="shared" si="17"/>
        <v>69.524008750000007</v>
      </c>
      <c r="S173" t="str">
        <f t="shared" si="18"/>
        <v>Bom</v>
      </c>
    </row>
    <row r="174" spans="1:19" x14ac:dyDescent="0.3">
      <c r="A174" t="s">
        <v>197</v>
      </c>
      <c r="B174" t="s">
        <v>47</v>
      </c>
      <c r="C174" s="5">
        <f>VLOOKUP(A174,Dim!A:B,2,0)</f>
        <v>105.8</v>
      </c>
      <c r="D174" s="1">
        <v>4.1099999999999998E-2</v>
      </c>
      <c r="E174" s="1">
        <v>6.5600000000000006E-2</v>
      </c>
      <c r="F174">
        <v>1.02</v>
      </c>
      <c r="G174" s="2">
        <v>158251000</v>
      </c>
      <c r="H174" s="2">
        <v>81088</v>
      </c>
      <c r="I174">
        <v>0</v>
      </c>
      <c r="J174">
        <v>0</v>
      </c>
      <c r="K174">
        <v>0</v>
      </c>
      <c r="L174" s="1">
        <v>0</v>
      </c>
      <c r="M174" s="1">
        <v>0</v>
      </c>
      <c r="N174" s="4">
        <f t="shared" si="13"/>
        <v>5.4666666666666674E-3</v>
      </c>
      <c r="O174" s="5">
        <f t="shared" si="14"/>
        <v>0.57837333333333341</v>
      </c>
      <c r="P174">
        <f t="shared" si="15"/>
        <v>184</v>
      </c>
      <c r="Q174" s="6">
        <f t="shared" si="16"/>
        <v>19467.2</v>
      </c>
      <c r="R174" s="6">
        <f t="shared" si="17"/>
        <v>106.42069333333335</v>
      </c>
      <c r="S174" t="str">
        <f t="shared" si="18"/>
        <v>Alerta</v>
      </c>
    </row>
    <row r="175" spans="1:19" x14ac:dyDescent="0.3">
      <c r="A175" t="s">
        <v>31</v>
      </c>
      <c r="B175" t="s">
        <v>14</v>
      </c>
      <c r="C175" s="5">
        <f>VLOOKUP(A175,Dim!A:B,2,0)</f>
        <v>7.54</v>
      </c>
      <c r="D175" s="1">
        <v>8.5000000000000006E-2</v>
      </c>
      <c r="E175" s="1">
        <v>0.1704</v>
      </c>
      <c r="F175">
        <v>0.81</v>
      </c>
      <c r="G175" s="2">
        <v>152181000</v>
      </c>
      <c r="H175" s="2">
        <v>165356</v>
      </c>
      <c r="I175">
        <v>0</v>
      </c>
      <c r="J175">
        <v>0</v>
      </c>
      <c r="K175">
        <v>0</v>
      </c>
      <c r="L175" s="1">
        <v>0</v>
      </c>
      <c r="M175" s="1">
        <v>0</v>
      </c>
      <c r="N175" s="4">
        <f t="shared" si="13"/>
        <v>1.4199999999999999E-2</v>
      </c>
      <c r="O175" s="5">
        <f t="shared" si="14"/>
        <v>0.107068</v>
      </c>
      <c r="P175">
        <f t="shared" si="15"/>
        <v>72</v>
      </c>
      <c r="Q175" s="6">
        <f t="shared" si="16"/>
        <v>542.88</v>
      </c>
      <c r="R175" s="6">
        <f t="shared" si="17"/>
        <v>7.7088959999999993</v>
      </c>
      <c r="S175" t="str">
        <f t="shared" si="18"/>
        <v>Alerta</v>
      </c>
    </row>
    <row r="176" spans="1:19" x14ac:dyDescent="0.3">
      <c r="A176" t="s">
        <v>506</v>
      </c>
      <c r="B176" t="s">
        <v>14</v>
      </c>
      <c r="C176" s="5">
        <f>VLOOKUP(A176,Dim!A:B,2,0)</f>
        <v>7.6</v>
      </c>
      <c r="D176" s="1">
        <v>0.13469999999999999</v>
      </c>
      <c r="E176" s="1">
        <v>0.14069999999999999</v>
      </c>
      <c r="F176">
        <v>0.88</v>
      </c>
      <c r="G176" s="2">
        <v>1248590000</v>
      </c>
      <c r="H176" s="2">
        <v>2779070</v>
      </c>
      <c r="I176">
        <v>0</v>
      </c>
      <c r="J176">
        <v>0</v>
      </c>
      <c r="K176">
        <v>0</v>
      </c>
      <c r="L176" s="1">
        <v>0</v>
      </c>
      <c r="M176" s="1">
        <v>0</v>
      </c>
      <c r="N176" s="4">
        <f t="shared" si="13"/>
        <v>1.1724999999999999E-2</v>
      </c>
      <c r="O176" s="5">
        <f t="shared" si="14"/>
        <v>8.9109999999999995E-2</v>
      </c>
      <c r="P176">
        <f t="shared" si="15"/>
        <v>87</v>
      </c>
      <c r="Q176" s="6">
        <f t="shared" si="16"/>
        <v>661.19999999999993</v>
      </c>
      <c r="R176" s="6">
        <f t="shared" si="17"/>
        <v>7.7525699999999995</v>
      </c>
      <c r="S176" t="str">
        <f t="shared" si="18"/>
        <v>Alerta</v>
      </c>
    </row>
    <row r="177" spans="1:19" x14ac:dyDescent="0.3">
      <c r="A177" t="s">
        <v>13</v>
      </c>
      <c r="B177" t="s">
        <v>14</v>
      </c>
      <c r="C177" s="5">
        <f>VLOOKUP(A177,Dim!A:B,2,0)</f>
        <v>7.69</v>
      </c>
      <c r="D177" s="1">
        <v>0.1386</v>
      </c>
      <c r="E177" s="1">
        <v>0.14499999999999999</v>
      </c>
      <c r="F177">
        <v>0.88</v>
      </c>
      <c r="G177" s="2">
        <v>181722000</v>
      </c>
      <c r="H177" s="2">
        <v>391741</v>
      </c>
      <c r="I177">
        <v>0</v>
      </c>
      <c r="J177">
        <v>0</v>
      </c>
      <c r="K177">
        <v>0</v>
      </c>
      <c r="L177" s="1">
        <v>0</v>
      </c>
      <c r="M177" s="1">
        <v>0</v>
      </c>
      <c r="N177" s="4">
        <f t="shared" si="13"/>
        <v>1.2083333333333333E-2</v>
      </c>
      <c r="O177" s="5">
        <f t="shared" si="14"/>
        <v>9.2920833333333341E-2</v>
      </c>
      <c r="P177">
        <f t="shared" si="15"/>
        <v>84</v>
      </c>
      <c r="Q177" s="6">
        <f t="shared" si="16"/>
        <v>645.96</v>
      </c>
      <c r="R177" s="6">
        <f t="shared" si="17"/>
        <v>7.8053500000000007</v>
      </c>
      <c r="S177" t="str">
        <f t="shared" si="18"/>
        <v>Alerta</v>
      </c>
    </row>
    <row r="178" spans="1:19" x14ac:dyDescent="0.3">
      <c r="A178" t="s">
        <v>200</v>
      </c>
      <c r="B178" t="s">
        <v>14</v>
      </c>
      <c r="C178" s="5">
        <f>VLOOKUP(A178,Dim!A:B,2,0)</f>
        <v>7.64</v>
      </c>
      <c r="D178" s="1">
        <v>0.129</v>
      </c>
      <c r="E178" s="1">
        <v>0.13109999999999999</v>
      </c>
      <c r="F178">
        <v>0.75</v>
      </c>
      <c r="G178" s="2">
        <v>20799000</v>
      </c>
      <c r="H178" s="2">
        <v>12881</v>
      </c>
      <c r="I178">
        <v>0</v>
      </c>
      <c r="J178">
        <v>0</v>
      </c>
      <c r="K178">
        <v>0</v>
      </c>
      <c r="L178" s="1">
        <v>0</v>
      </c>
      <c r="M178" s="1">
        <v>0</v>
      </c>
      <c r="N178" s="4">
        <f t="shared" si="13"/>
        <v>1.0924999999999999E-2</v>
      </c>
      <c r="O178" s="5">
        <f t="shared" si="14"/>
        <v>8.3466999999999986E-2</v>
      </c>
      <c r="P178">
        <f t="shared" si="15"/>
        <v>93</v>
      </c>
      <c r="Q178" s="6">
        <f t="shared" si="16"/>
        <v>710.52</v>
      </c>
      <c r="R178" s="6">
        <f t="shared" si="17"/>
        <v>7.7624309999999985</v>
      </c>
      <c r="S178" t="str">
        <f t="shared" si="18"/>
        <v>Alerta</v>
      </c>
    </row>
    <row r="179" spans="1:19" x14ac:dyDescent="0.3">
      <c r="A179" t="s">
        <v>42</v>
      </c>
      <c r="B179" t="s">
        <v>19</v>
      </c>
      <c r="C179" s="5">
        <f>VLOOKUP(A179,Dim!A:B,2,0)</f>
        <v>7.52</v>
      </c>
      <c r="D179" s="1">
        <v>0.14960000000000001</v>
      </c>
      <c r="E179" s="1">
        <v>0.15040000000000001</v>
      </c>
      <c r="F179">
        <v>0.83</v>
      </c>
      <c r="G179" s="2">
        <v>67854100</v>
      </c>
      <c r="H179" s="2">
        <v>74354</v>
      </c>
      <c r="I179">
        <v>0</v>
      </c>
      <c r="J179">
        <v>0</v>
      </c>
      <c r="K179">
        <v>0</v>
      </c>
      <c r="L179" s="1">
        <v>0</v>
      </c>
      <c r="M179" s="1">
        <v>0</v>
      </c>
      <c r="N179" s="4">
        <f t="shared" si="13"/>
        <v>1.2533333333333334E-2</v>
      </c>
      <c r="O179" s="5">
        <f t="shared" si="14"/>
        <v>9.4250666666666663E-2</v>
      </c>
      <c r="P179">
        <f t="shared" si="15"/>
        <v>81</v>
      </c>
      <c r="Q179" s="6">
        <f t="shared" si="16"/>
        <v>609.12</v>
      </c>
      <c r="R179" s="6">
        <f t="shared" si="17"/>
        <v>7.6343039999999993</v>
      </c>
      <c r="S179" t="str">
        <f t="shared" si="18"/>
        <v>Alerta</v>
      </c>
    </row>
    <row r="180" spans="1:19" x14ac:dyDescent="0.3">
      <c r="A180" t="s">
        <v>203</v>
      </c>
      <c r="B180" t="s">
        <v>28</v>
      </c>
      <c r="C180" s="5">
        <f>VLOOKUP(A180,Dim!A:B,2,0)</f>
        <v>76.400000000000006</v>
      </c>
      <c r="D180" s="1">
        <v>0.1338</v>
      </c>
      <c r="E180" s="1">
        <v>0.1303</v>
      </c>
      <c r="F180">
        <v>0.77</v>
      </c>
      <c r="G180" s="2">
        <v>925200000</v>
      </c>
      <c r="H180" s="2">
        <v>962718</v>
      </c>
      <c r="I180">
        <v>0</v>
      </c>
      <c r="J180">
        <v>0</v>
      </c>
      <c r="K180">
        <v>0</v>
      </c>
      <c r="L180" s="1">
        <v>0.1409</v>
      </c>
      <c r="M180" s="1">
        <v>0</v>
      </c>
      <c r="N180" s="4">
        <f t="shared" si="13"/>
        <v>1.0858333333333333E-2</v>
      </c>
      <c r="O180" s="5">
        <f t="shared" si="14"/>
        <v>0.82957666666666663</v>
      </c>
      <c r="P180">
        <f t="shared" si="15"/>
        <v>94</v>
      </c>
      <c r="Q180" s="6">
        <f t="shared" si="16"/>
        <v>7181.6</v>
      </c>
      <c r="R180" s="6">
        <f t="shared" si="17"/>
        <v>77.98020666666666</v>
      </c>
      <c r="S180" t="str">
        <f t="shared" si="18"/>
        <v>Bom</v>
      </c>
    </row>
    <row r="181" spans="1:19" x14ac:dyDescent="0.3">
      <c r="A181" t="s">
        <v>119</v>
      </c>
      <c r="B181" t="s">
        <v>14</v>
      </c>
      <c r="C181" s="5">
        <f>VLOOKUP(A181,Dim!A:B,2,0)</f>
        <v>7.4</v>
      </c>
      <c r="D181" s="1">
        <v>1.2713000000000001</v>
      </c>
      <c r="E181" s="1">
        <v>0.1013</v>
      </c>
      <c r="F181">
        <v>0.76</v>
      </c>
      <c r="G181" s="2">
        <v>148685000</v>
      </c>
      <c r="H181" s="2">
        <v>212280</v>
      </c>
      <c r="I181">
        <v>0</v>
      </c>
      <c r="J181">
        <v>0</v>
      </c>
      <c r="K181">
        <v>0</v>
      </c>
      <c r="L181" s="1">
        <v>0</v>
      </c>
      <c r="M181" s="1">
        <v>0</v>
      </c>
      <c r="N181" s="4">
        <f t="shared" si="13"/>
        <v>8.4416666666666668E-3</v>
      </c>
      <c r="O181" s="5">
        <f t="shared" si="14"/>
        <v>6.2468333333333334E-2</v>
      </c>
      <c r="P181">
        <f t="shared" si="15"/>
        <v>120</v>
      </c>
      <c r="Q181" s="6">
        <f t="shared" si="16"/>
        <v>888</v>
      </c>
      <c r="R181" s="6">
        <f t="shared" si="17"/>
        <v>7.4962</v>
      </c>
      <c r="S181" t="str">
        <f t="shared" si="18"/>
        <v>Bom</v>
      </c>
    </row>
    <row r="182" spans="1:19" x14ac:dyDescent="0.3">
      <c r="A182" t="s">
        <v>120</v>
      </c>
      <c r="B182" t="s">
        <v>14</v>
      </c>
      <c r="C182" s="5">
        <f>VLOOKUP(A182,Dim!A:B,2,0)</f>
        <v>7.56</v>
      </c>
      <c r="D182" s="1">
        <v>7.6100000000000001E-2</v>
      </c>
      <c r="E182" s="1">
        <v>0.1278</v>
      </c>
      <c r="F182">
        <v>0.84</v>
      </c>
      <c r="G182" s="2">
        <v>2464190000</v>
      </c>
      <c r="H182" s="2">
        <v>5797170</v>
      </c>
      <c r="I182">
        <v>0</v>
      </c>
      <c r="J182">
        <v>0</v>
      </c>
      <c r="K182">
        <v>0</v>
      </c>
      <c r="L182" s="1">
        <v>0</v>
      </c>
      <c r="M182" s="1">
        <v>0</v>
      </c>
      <c r="N182" s="4">
        <f t="shared" si="13"/>
        <v>1.065E-2</v>
      </c>
      <c r="O182" s="5">
        <f t="shared" si="14"/>
        <v>8.0513999999999988E-2</v>
      </c>
      <c r="P182">
        <f t="shared" si="15"/>
        <v>95</v>
      </c>
      <c r="Q182" s="6">
        <f t="shared" si="16"/>
        <v>718.19999999999993</v>
      </c>
      <c r="R182" s="6">
        <f t="shared" si="17"/>
        <v>7.6488299999999985</v>
      </c>
      <c r="S182" t="str">
        <f t="shared" si="18"/>
        <v>Alerta</v>
      </c>
    </row>
    <row r="183" spans="1:19" x14ac:dyDescent="0.3">
      <c r="A183" t="s">
        <v>206</v>
      </c>
      <c r="B183" t="s">
        <v>16</v>
      </c>
      <c r="C183" s="5">
        <f>VLOOKUP(A183,Dim!A:B,2,0)</f>
        <v>46.59</v>
      </c>
      <c r="D183" s="1">
        <v>0.10970000000000001</v>
      </c>
      <c r="E183" s="1">
        <v>0.2001</v>
      </c>
      <c r="F183">
        <v>0.51</v>
      </c>
      <c r="G183" s="2">
        <v>1002510000</v>
      </c>
      <c r="H183" s="2">
        <v>606862</v>
      </c>
      <c r="I183">
        <v>6</v>
      </c>
      <c r="J183" s="3">
        <v>8339.58</v>
      </c>
      <c r="K183" s="3">
        <v>1113.25</v>
      </c>
      <c r="L183" s="1">
        <v>0.13350000000000001</v>
      </c>
      <c r="M183" s="1">
        <v>4.1399999999999999E-2</v>
      </c>
      <c r="N183" s="4">
        <f t="shared" si="13"/>
        <v>1.6674999999999999E-2</v>
      </c>
      <c r="O183" s="5">
        <f t="shared" si="14"/>
        <v>0.77688825000000006</v>
      </c>
      <c r="P183">
        <f t="shared" si="15"/>
        <v>61</v>
      </c>
      <c r="Q183" s="6">
        <f t="shared" si="16"/>
        <v>2841.9900000000002</v>
      </c>
      <c r="R183" s="6">
        <f t="shared" si="17"/>
        <v>47.390183250000007</v>
      </c>
      <c r="S183" t="str">
        <f t="shared" si="18"/>
        <v>Alerta</v>
      </c>
    </row>
    <row r="184" spans="1:19" x14ac:dyDescent="0.3">
      <c r="A184" t="s">
        <v>207</v>
      </c>
      <c r="B184" t="s">
        <v>28</v>
      </c>
      <c r="C184" s="5">
        <f>VLOOKUP(A184,Dim!A:B,2,0)</f>
        <v>49.44</v>
      </c>
      <c r="D184" s="1">
        <v>3.1699999999999999E-2</v>
      </c>
      <c r="E184" s="1">
        <v>3.2500000000000001E-2</v>
      </c>
      <c r="F184">
        <v>0.75</v>
      </c>
      <c r="G184" s="2">
        <v>171195000</v>
      </c>
      <c r="H184" s="2">
        <v>1668</v>
      </c>
      <c r="I184">
        <v>2</v>
      </c>
      <c r="J184" s="3">
        <v>13823.7</v>
      </c>
      <c r="K184" s="3">
        <v>1000.5</v>
      </c>
      <c r="L184" s="1">
        <v>7.2400000000000006E-2</v>
      </c>
      <c r="M184" s="1">
        <v>0.17100000000000001</v>
      </c>
      <c r="N184" s="4">
        <f t="shared" si="13"/>
        <v>2.7083333333333334E-3</v>
      </c>
      <c r="O184" s="5">
        <f t="shared" si="14"/>
        <v>0.13389999999999999</v>
      </c>
      <c r="P184">
        <f t="shared" si="15"/>
        <v>371</v>
      </c>
      <c r="Q184" s="6">
        <f t="shared" si="16"/>
        <v>18342.239999999998</v>
      </c>
      <c r="R184" s="6">
        <f t="shared" si="17"/>
        <v>49.676899999999996</v>
      </c>
      <c r="S184" t="str">
        <f t="shared" si="18"/>
        <v>Alerta</v>
      </c>
    </row>
    <row r="185" spans="1:19" x14ac:dyDescent="0.3">
      <c r="A185" t="s">
        <v>208</v>
      </c>
      <c r="B185" t="s">
        <v>19</v>
      </c>
      <c r="C185" s="5">
        <f>VLOOKUP(A185,Dim!A:B,2,0)</f>
        <v>72.89</v>
      </c>
      <c r="D185" s="1">
        <v>0.1537</v>
      </c>
      <c r="E185" s="1">
        <v>0.1825</v>
      </c>
      <c r="F185">
        <v>0.79</v>
      </c>
      <c r="G185" s="2">
        <v>605202000</v>
      </c>
      <c r="H185" s="2">
        <v>1115190</v>
      </c>
      <c r="I185">
        <v>0</v>
      </c>
      <c r="J185">
        <v>0</v>
      </c>
      <c r="K185">
        <v>0</v>
      </c>
      <c r="L185" s="1">
        <v>0</v>
      </c>
      <c r="M185" s="1">
        <v>0</v>
      </c>
      <c r="N185" s="4">
        <f t="shared" si="13"/>
        <v>1.5208333333333332E-2</v>
      </c>
      <c r="O185" s="5">
        <f t="shared" si="14"/>
        <v>1.1085354166666666</v>
      </c>
      <c r="P185">
        <f t="shared" si="15"/>
        <v>67</v>
      </c>
      <c r="Q185" s="6">
        <f t="shared" si="16"/>
        <v>4883.63</v>
      </c>
      <c r="R185" s="6">
        <f t="shared" si="17"/>
        <v>74.271872916666652</v>
      </c>
      <c r="S185" t="str">
        <f t="shared" si="18"/>
        <v>Alerta</v>
      </c>
    </row>
    <row r="186" spans="1:19" x14ac:dyDescent="0.3">
      <c r="A186" t="s">
        <v>209</v>
      </c>
      <c r="B186" t="s">
        <v>14</v>
      </c>
      <c r="C186" s="5">
        <f>VLOOKUP(A186,Dim!A:B,2,0)</f>
        <v>135.5</v>
      </c>
      <c r="D186" s="1">
        <v>5.5399999999999998E-2</v>
      </c>
      <c r="E186" s="1">
        <v>0.1648</v>
      </c>
      <c r="F186">
        <v>1.1499999999999999</v>
      </c>
      <c r="G186" s="2">
        <v>218400000</v>
      </c>
      <c r="H186" s="2">
        <v>155569</v>
      </c>
      <c r="I186">
        <v>3</v>
      </c>
      <c r="J186" s="3">
        <v>1796.05</v>
      </c>
      <c r="K186">
        <v>226.74</v>
      </c>
      <c r="L186" s="1">
        <v>0.12620000000000001</v>
      </c>
      <c r="M186" s="1">
        <v>0</v>
      </c>
      <c r="N186" s="4">
        <f t="shared" si="13"/>
        <v>1.3733333333333334E-2</v>
      </c>
      <c r="O186" s="5">
        <f t="shared" si="14"/>
        <v>1.8608666666666667</v>
      </c>
      <c r="P186">
        <f t="shared" si="15"/>
        <v>74</v>
      </c>
      <c r="Q186" s="6">
        <f t="shared" si="16"/>
        <v>10027</v>
      </c>
      <c r="R186" s="6">
        <f t="shared" si="17"/>
        <v>137.70413333333335</v>
      </c>
      <c r="S186" t="str">
        <f t="shared" si="18"/>
        <v>Alerta</v>
      </c>
    </row>
    <row r="187" spans="1:19" x14ac:dyDescent="0.3">
      <c r="A187" t="s">
        <v>273</v>
      </c>
      <c r="B187" t="s">
        <v>19</v>
      </c>
      <c r="C187" s="5">
        <f>VLOOKUP(A187,Dim!A:B,2,0)</f>
        <v>7.28</v>
      </c>
      <c r="D187" s="1">
        <v>0.14460000000000001</v>
      </c>
      <c r="E187" s="1">
        <v>0.1467</v>
      </c>
      <c r="F187">
        <v>0.81</v>
      </c>
      <c r="G187" s="2">
        <v>563594000</v>
      </c>
      <c r="H187" s="2">
        <v>1653150</v>
      </c>
      <c r="I187">
        <v>0</v>
      </c>
      <c r="J187">
        <v>0</v>
      </c>
      <c r="K187">
        <v>0</v>
      </c>
      <c r="L187" s="1">
        <v>0</v>
      </c>
      <c r="M187" s="1">
        <v>0</v>
      </c>
      <c r="N187" s="4">
        <f t="shared" si="13"/>
        <v>1.2225E-2</v>
      </c>
      <c r="O187" s="5">
        <f t="shared" si="14"/>
        <v>8.8998000000000008E-2</v>
      </c>
      <c r="P187">
        <f t="shared" si="15"/>
        <v>83</v>
      </c>
      <c r="Q187" s="6">
        <f t="shared" si="16"/>
        <v>604.24</v>
      </c>
      <c r="R187" s="6">
        <f t="shared" si="17"/>
        <v>7.3868340000000003</v>
      </c>
      <c r="S187" t="str">
        <f t="shared" si="18"/>
        <v>Alerta</v>
      </c>
    </row>
    <row r="188" spans="1:19" x14ac:dyDescent="0.3">
      <c r="A188" t="s">
        <v>503</v>
      </c>
      <c r="B188" t="s">
        <v>14</v>
      </c>
      <c r="C188" s="5">
        <f>VLOOKUP(A188,Dim!A:B,2,0)</f>
        <v>7.05</v>
      </c>
      <c r="D188" s="1">
        <v>0.1239</v>
      </c>
      <c r="E188" s="1">
        <v>0.14940000000000001</v>
      </c>
      <c r="F188">
        <v>0.76</v>
      </c>
      <c r="G188" s="2">
        <v>146476000</v>
      </c>
      <c r="H188" s="2">
        <v>116850</v>
      </c>
      <c r="I188">
        <v>0</v>
      </c>
      <c r="J188">
        <v>0</v>
      </c>
      <c r="K188">
        <v>0</v>
      </c>
      <c r="L188" s="1">
        <v>0</v>
      </c>
      <c r="M188" s="1">
        <v>0</v>
      </c>
      <c r="N188" s="4">
        <f t="shared" si="13"/>
        <v>1.2450000000000001E-2</v>
      </c>
      <c r="O188" s="5">
        <f t="shared" si="14"/>
        <v>8.7772500000000003E-2</v>
      </c>
      <c r="P188">
        <f t="shared" si="15"/>
        <v>82</v>
      </c>
      <c r="Q188" s="6">
        <f t="shared" si="16"/>
        <v>578.1</v>
      </c>
      <c r="R188" s="6">
        <f t="shared" si="17"/>
        <v>7.1973450000000003</v>
      </c>
      <c r="S188" t="str">
        <f t="shared" si="18"/>
        <v>Alerta</v>
      </c>
    </row>
    <row r="189" spans="1:19" x14ac:dyDescent="0.3">
      <c r="A189" t="s">
        <v>212</v>
      </c>
      <c r="B189" t="s">
        <v>14</v>
      </c>
      <c r="C189" s="5">
        <f>VLOOKUP(A189,Dim!A:B,2,0)</f>
        <v>79</v>
      </c>
      <c r="D189" s="1">
        <v>8.0600000000000005E-2</v>
      </c>
      <c r="E189" s="1">
        <v>0.1241</v>
      </c>
      <c r="F189">
        <v>0.84</v>
      </c>
      <c r="G189" s="2">
        <v>94224000</v>
      </c>
      <c r="H189" s="2">
        <v>9627</v>
      </c>
      <c r="I189">
        <v>0</v>
      </c>
      <c r="J189">
        <v>0</v>
      </c>
      <c r="K189">
        <v>0</v>
      </c>
      <c r="L189" s="1">
        <v>0</v>
      </c>
      <c r="M189" s="1">
        <v>0</v>
      </c>
      <c r="N189" s="4">
        <f t="shared" si="13"/>
        <v>1.0341666666666667E-2</v>
      </c>
      <c r="O189" s="5">
        <f t="shared" si="14"/>
        <v>0.81699166666666667</v>
      </c>
      <c r="P189">
        <f t="shared" si="15"/>
        <v>98</v>
      </c>
      <c r="Q189" s="6">
        <f t="shared" si="16"/>
        <v>7742</v>
      </c>
      <c r="R189" s="6">
        <f t="shared" si="17"/>
        <v>80.065183333333337</v>
      </c>
      <c r="S189" t="str">
        <f t="shared" si="18"/>
        <v>Alerta</v>
      </c>
    </row>
    <row r="190" spans="1:19" x14ac:dyDescent="0.3">
      <c r="A190" t="s">
        <v>213</v>
      </c>
      <c r="B190" t="s">
        <v>106</v>
      </c>
      <c r="C190" s="5">
        <f>VLOOKUP(A190,Dim!A:B,2,0)</f>
        <v>271.99</v>
      </c>
      <c r="D190" s="1">
        <v>0.11890000000000001</v>
      </c>
      <c r="E190" s="1">
        <v>0.1188</v>
      </c>
      <c r="F190">
        <v>0.82</v>
      </c>
      <c r="G190" s="2">
        <v>53598000</v>
      </c>
      <c r="H190" s="2">
        <v>34787</v>
      </c>
      <c r="I190">
        <v>1</v>
      </c>
      <c r="J190" s="3">
        <v>9630.65</v>
      </c>
      <c r="K190" s="3">
        <v>1230.69</v>
      </c>
      <c r="L190" s="1">
        <v>0.1278</v>
      </c>
      <c r="M190" s="1">
        <v>0</v>
      </c>
      <c r="N190" s="4">
        <f t="shared" si="13"/>
        <v>9.9000000000000008E-3</v>
      </c>
      <c r="O190" s="5">
        <f t="shared" si="14"/>
        <v>2.6927010000000005</v>
      </c>
      <c r="P190">
        <f t="shared" si="15"/>
        <v>103</v>
      </c>
      <c r="Q190" s="6">
        <f t="shared" si="16"/>
        <v>28014.97</v>
      </c>
      <c r="R190" s="6">
        <f t="shared" si="17"/>
        <v>277.34820300000007</v>
      </c>
      <c r="S190" t="str">
        <f t="shared" si="18"/>
        <v>Bom</v>
      </c>
    </row>
    <row r="191" spans="1:19" x14ac:dyDescent="0.3">
      <c r="A191" t="s">
        <v>135</v>
      </c>
      <c r="B191" t="s">
        <v>14</v>
      </c>
      <c r="C191" s="5">
        <f>VLOOKUP(A191,Dim!A:B,2,0)</f>
        <v>7.1</v>
      </c>
      <c r="D191" s="1">
        <v>0.20019999999999999</v>
      </c>
      <c r="E191" s="1">
        <v>0.15790000000000001</v>
      </c>
      <c r="F191">
        <v>0.73</v>
      </c>
      <c r="G191" s="2">
        <v>47711400</v>
      </c>
      <c r="H191" s="2">
        <v>64481</v>
      </c>
      <c r="I191">
        <v>0</v>
      </c>
      <c r="J191">
        <v>0</v>
      </c>
      <c r="K191">
        <v>0</v>
      </c>
      <c r="L191" s="1">
        <v>0</v>
      </c>
      <c r="M191" s="1">
        <v>0</v>
      </c>
      <c r="N191" s="4">
        <f t="shared" si="13"/>
        <v>1.3158333333333334E-2</v>
      </c>
      <c r="O191" s="5">
        <f t="shared" si="14"/>
        <v>9.3424166666666669E-2</v>
      </c>
      <c r="P191">
        <f t="shared" si="15"/>
        <v>77</v>
      </c>
      <c r="Q191" s="6">
        <f t="shared" si="16"/>
        <v>546.69999999999993</v>
      </c>
      <c r="R191" s="6">
        <f t="shared" si="17"/>
        <v>7.1936608333333334</v>
      </c>
      <c r="S191" t="str">
        <f t="shared" si="18"/>
        <v>Bom</v>
      </c>
    </row>
    <row r="192" spans="1:19" x14ac:dyDescent="0.3">
      <c r="A192" t="s">
        <v>215</v>
      </c>
      <c r="B192" t="s">
        <v>47</v>
      </c>
      <c r="C192" s="5">
        <f>VLOOKUP(A192,Dim!A:B,2,0)</f>
        <v>85.98</v>
      </c>
      <c r="D192" s="1">
        <v>0.31009999999999999</v>
      </c>
      <c r="E192" s="1">
        <v>0.3735</v>
      </c>
      <c r="F192">
        <v>0.8</v>
      </c>
      <c r="G192" s="2">
        <v>72223200</v>
      </c>
      <c r="H192">
        <v>18</v>
      </c>
      <c r="I192">
        <v>1</v>
      </c>
      <c r="J192" s="3">
        <v>2454.64</v>
      </c>
      <c r="K192">
        <v>292.13</v>
      </c>
      <c r="L192" s="1">
        <v>0.11899999999999999</v>
      </c>
      <c r="M192" s="1">
        <v>0</v>
      </c>
      <c r="N192" s="4">
        <f t="shared" si="13"/>
        <v>3.1125E-2</v>
      </c>
      <c r="O192" s="5">
        <f t="shared" si="14"/>
        <v>2.6761275000000002</v>
      </c>
      <c r="P192">
        <f t="shared" si="15"/>
        <v>34</v>
      </c>
      <c r="Q192" s="6">
        <f t="shared" si="16"/>
        <v>2923.32</v>
      </c>
      <c r="R192" s="6">
        <f t="shared" si="17"/>
        <v>90.988335000000006</v>
      </c>
      <c r="S192" t="str">
        <f t="shared" si="18"/>
        <v>Alerta</v>
      </c>
    </row>
    <row r="193" spans="1:19" x14ac:dyDescent="0.3">
      <c r="A193" t="s">
        <v>53</v>
      </c>
      <c r="B193" t="s">
        <v>16</v>
      </c>
      <c r="C193" s="5">
        <f>VLOOKUP(A193,Dim!A:B,2,0)</f>
        <v>6.98</v>
      </c>
      <c r="D193" s="1">
        <v>0.18</v>
      </c>
      <c r="E193" s="1">
        <v>0.1426</v>
      </c>
      <c r="F193">
        <v>0.7</v>
      </c>
      <c r="G193" s="2">
        <v>687900000</v>
      </c>
      <c r="H193" s="2">
        <v>817071</v>
      </c>
      <c r="I193">
        <v>3</v>
      </c>
      <c r="J193" s="3">
        <v>8021.42</v>
      </c>
      <c r="K193">
        <v>355.98</v>
      </c>
      <c r="L193" s="1">
        <v>4.4400000000000002E-2</v>
      </c>
      <c r="M193" s="1">
        <v>2.1600000000000001E-2</v>
      </c>
      <c r="N193" s="4">
        <f t="shared" si="13"/>
        <v>1.1883333333333334E-2</v>
      </c>
      <c r="O193" s="5">
        <f t="shared" si="14"/>
        <v>8.2945666666666681E-2</v>
      </c>
      <c r="P193">
        <f t="shared" si="15"/>
        <v>86</v>
      </c>
      <c r="Q193" s="6">
        <f t="shared" si="16"/>
        <v>600.28000000000009</v>
      </c>
      <c r="R193" s="6">
        <f t="shared" si="17"/>
        <v>7.1333273333333347</v>
      </c>
      <c r="S193" t="str">
        <f t="shared" si="18"/>
        <v>Bom</v>
      </c>
    </row>
    <row r="194" spans="1:19" x14ac:dyDescent="0.3">
      <c r="A194" t="s">
        <v>523</v>
      </c>
      <c r="B194" t="s">
        <v>19</v>
      </c>
      <c r="C194" s="5">
        <f>VLOOKUP(A194,Dim!A:B,2,0)</f>
        <v>6.85</v>
      </c>
      <c r="D194" s="1">
        <v>0.1192</v>
      </c>
      <c r="E194" s="1">
        <v>0.15390000000000001</v>
      </c>
      <c r="F194">
        <v>0.74</v>
      </c>
      <c r="G194" s="2">
        <v>323632000</v>
      </c>
      <c r="H194" s="2">
        <v>346814</v>
      </c>
      <c r="I194">
        <v>25</v>
      </c>
      <c r="J194" s="3">
        <v>4573.6000000000004</v>
      </c>
      <c r="K194">
        <v>0</v>
      </c>
      <c r="L194" s="1">
        <v>0</v>
      </c>
      <c r="M194" s="1">
        <v>0</v>
      </c>
      <c r="N194" s="4">
        <f t="shared" ref="N194:N257" si="19">E194/12</f>
        <v>1.2825000000000001E-2</v>
      </c>
      <c r="O194" s="5">
        <f t="shared" ref="O194:O257" si="20">N194*C194</f>
        <v>8.7851250000000006E-2</v>
      </c>
      <c r="P194">
        <f t="shared" ref="P194:P257" si="21">ROUNDUP((C194/O194),0)+1</f>
        <v>79</v>
      </c>
      <c r="Q194" s="6">
        <f t="shared" ref="Q194:Q257" si="22">P194*C194</f>
        <v>541.15</v>
      </c>
      <c r="R194" s="6">
        <f t="shared" ref="R194:R257" si="23">P194*O194</f>
        <v>6.9402487500000003</v>
      </c>
      <c r="S194" t="str">
        <f t="shared" si="18"/>
        <v>Alerta</v>
      </c>
    </row>
    <row r="195" spans="1:19" x14ac:dyDescent="0.3">
      <c r="A195" t="s">
        <v>63</v>
      </c>
      <c r="B195" t="s">
        <v>14</v>
      </c>
      <c r="C195" s="5">
        <f>VLOOKUP(A195,Dim!A:B,2,0)</f>
        <v>6.73</v>
      </c>
      <c r="D195" s="1">
        <v>0.128</v>
      </c>
      <c r="E195" s="1">
        <v>0.15179999999999999</v>
      </c>
      <c r="F195">
        <v>0.8</v>
      </c>
      <c r="G195" s="2">
        <v>39691600</v>
      </c>
      <c r="H195" s="2">
        <v>53251</v>
      </c>
      <c r="I195">
        <v>1</v>
      </c>
      <c r="J195">
        <v>275.33999999999997</v>
      </c>
      <c r="K195">
        <v>0</v>
      </c>
      <c r="L195" s="1">
        <v>0</v>
      </c>
      <c r="M195" s="1">
        <v>0</v>
      </c>
      <c r="N195" s="4">
        <f t="shared" si="19"/>
        <v>1.265E-2</v>
      </c>
      <c r="O195" s="5">
        <f t="shared" si="20"/>
        <v>8.5134500000000002E-2</v>
      </c>
      <c r="P195">
        <f t="shared" si="21"/>
        <v>81</v>
      </c>
      <c r="Q195" s="6">
        <f t="shared" si="22"/>
        <v>545.13</v>
      </c>
      <c r="R195" s="6">
        <f t="shared" si="23"/>
        <v>6.8958944999999998</v>
      </c>
      <c r="S195" t="str">
        <f t="shared" si="18"/>
        <v>Alerta</v>
      </c>
    </row>
    <row r="196" spans="1:19" x14ac:dyDescent="0.3">
      <c r="A196" t="s">
        <v>282</v>
      </c>
      <c r="B196" t="s">
        <v>14</v>
      </c>
      <c r="C196" s="5">
        <f>VLOOKUP(A196,Dim!A:B,2,0)</f>
        <v>6.74</v>
      </c>
      <c r="D196" s="1">
        <v>0.1235</v>
      </c>
      <c r="E196" s="1">
        <v>0.122</v>
      </c>
      <c r="F196">
        <v>0.82</v>
      </c>
      <c r="G196" s="2">
        <v>297439000</v>
      </c>
      <c r="H196" s="2">
        <v>586844</v>
      </c>
      <c r="I196">
        <v>0</v>
      </c>
      <c r="J196">
        <v>0</v>
      </c>
      <c r="K196">
        <v>0</v>
      </c>
      <c r="L196" s="1">
        <v>0</v>
      </c>
      <c r="M196" s="1">
        <v>0</v>
      </c>
      <c r="N196" s="4">
        <f t="shared" si="19"/>
        <v>1.0166666666666666E-2</v>
      </c>
      <c r="O196" s="5">
        <f t="shared" si="20"/>
        <v>6.8523333333333325E-2</v>
      </c>
      <c r="P196">
        <f t="shared" si="21"/>
        <v>100</v>
      </c>
      <c r="Q196" s="6">
        <f t="shared" si="22"/>
        <v>674</v>
      </c>
      <c r="R196" s="6">
        <f t="shared" si="23"/>
        <v>6.8523333333333323</v>
      </c>
      <c r="S196" t="str">
        <f t="shared" si="18"/>
        <v>Bom</v>
      </c>
    </row>
    <row r="197" spans="1:19" x14ac:dyDescent="0.3">
      <c r="A197" t="s">
        <v>220</v>
      </c>
      <c r="B197" t="s">
        <v>14</v>
      </c>
      <c r="C197" s="5">
        <f>VLOOKUP(A197,Dim!A:B,2,0)</f>
        <v>94.62</v>
      </c>
      <c r="D197" s="1">
        <v>0.1318</v>
      </c>
      <c r="E197" s="1">
        <v>0.13020000000000001</v>
      </c>
      <c r="F197">
        <v>0.96</v>
      </c>
      <c r="G197" s="2">
        <v>1439900000</v>
      </c>
      <c r="H197" s="2">
        <v>2529880</v>
      </c>
      <c r="I197">
        <v>0</v>
      </c>
      <c r="J197">
        <v>0</v>
      </c>
      <c r="K197">
        <v>0</v>
      </c>
      <c r="L197" s="1">
        <v>0</v>
      </c>
      <c r="M197" s="1">
        <v>0</v>
      </c>
      <c r="N197" s="4">
        <f t="shared" si="19"/>
        <v>1.085E-2</v>
      </c>
      <c r="O197" s="5">
        <f t="shared" si="20"/>
        <v>1.0266270000000002</v>
      </c>
      <c r="P197">
        <f t="shared" si="21"/>
        <v>94</v>
      </c>
      <c r="Q197" s="6">
        <f t="shared" si="22"/>
        <v>8894.2800000000007</v>
      </c>
      <c r="R197" s="6">
        <f t="shared" si="23"/>
        <v>96.502938000000015</v>
      </c>
      <c r="S197" t="str">
        <f t="shared" ref="S197:S260" si="24">IF(D197&gt;E197,"Bom",IF(D197=E197,"netro","Alerta"))</f>
        <v>Bom</v>
      </c>
    </row>
    <row r="198" spans="1:19" x14ac:dyDescent="0.3">
      <c r="A198" t="s">
        <v>402</v>
      </c>
      <c r="B198" t="s">
        <v>14</v>
      </c>
      <c r="C198" s="5">
        <f>VLOOKUP(A198,Dim!A:B,2,0)</f>
        <v>6.65</v>
      </c>
      <c r="D198" s="1">
        <v>0.17430000000000001</v>
      </c>
      <c r="E198" s="1">
        <v>0.1363</v>
      </c>
      <c r="F198">
        <v>0.76</v>
      </c>
      <c r="G198" s="2">
        <v>909771000</v>
      </c>
      <c r="H198" s="2">
        <v>1921270</v>
      </c>
      <c r="I198">
        <v>0</v>
      </c>
      <c r="J198">
        <v>0</v>
      </c>
      <c r="K198">
        <v>0</v>
      </c>
      <c r="L198" s="1">
        <v>0</v>
      </c>
      <c r="M198" s="1">
        <v>0</v>
      </c>
      <c r="N198" s="4">
        <f t="shared" si="19"/>
        <v>1.1358333333333333E-2</v>
      </c>
      <c r="O198" s="5">
        <f t="shared" si="20"/>
        <v>7.5532916666666672E-2</v>
      </c>
      <c r="P198">
        <f t="shared" si="21"/>
        <v>90</v>
      </c>
      <c r="Q198" s="6">
        <f t="shared" si="22"/>
        <v>598.5</v>
      </c>
      <c r="R198" s="6">
        <f t="shared" si="23"/>
        <v>6.7979625000000006</v>
      </c>
      <c r="S198" t="str">
        <f t="shared" si="24"/>
        <v>Bom</v>
      </c>
    </row>
    <row r="199" spans="1:19" x14ac:dyDescent="0.3">
      <c r="A199" t="s">
        <v>222</v>
      </c>
      <c r="B199" t="s">
        <v>19</v>
      </c>
      <c r="C199" s="5">
        <f>VLOOKUP(A199,Dim!A:B,2,0)</f>
        <v>64.959999999999994</v>
      </c>
      <c r="D199" s="1">
        <v>5.1200000000000002E-2</v>
      </c>
      <c r="E199" s="1">
        <v>0.14710000000000001</v>
      </c>
      <c r="F199">
        <v>0.6</v>
      </c>
      <c r="G199" s="2">
        <v>31052300</v>
      </c>
      <c r="H199" s="2">
        <v>5688</v>
      </c>
      <c r="I199">
        <v>2</v>
      </c>
      <c r="J199" s="3">
        <v>1289.1199999999999</v>
      </c>
      <c r="K199">
        <v>0</v>
      </c>
      <c r="L199" s="1">
        <v>0</v>
      </c>
      <c r="M199" s="1">
        <v>0</v>
      </c>
      <c r="N199" s="4">
        <f t="shared" si="19"/>
        <v>1.2258333333333335E-2</v>
      </c>
      <c r="O199" s="5">
        <f t="shared" si="20"/>
        <v>0.79630133333333331</v>
      </c>
      <c r="P199">
        <f t="shared" si="21"/>
        <v>83</v>
      </c>
      <c r="Q199" s="6">
        <f t="shared" si="22"/>
        <v>5391.6799999999994</v>
      </c>
      <c r="R199" s="6">
        <f t="shared" si="23"/>
        <v>66.093010666666657</v>
      </c>
      <c r="S199" t="str">
        <f t="shared" si="24"/>
        <v>Alerta</v>
      </c>
    </row>
    <row r="200" spans="1:19" x14ac:dyDescent="0.3">
      <c r="A200" t="s">
        <v>41</v>
      </c>
      <c r="B200" t="s">
        <v>19</v>
      </c>
      <c r="C200" s="5">
        <f>VLOOKUP(A200,Dim!A:B,2,0)</f>
        <v>6.58</v>
      </c>
      <c r="D200" s="1">
        <v>0.1179</v>
      </c>
      <c r="E200" s="1">
        <v>0.1618</v>
      </c>
      <c r="F200">
        <v>0.78</v>
      </c>
      <c r="G200" s="2">
        <v>136591000</v>
      </c>
      <c r="H200" s="2">
        <v>208530</v>
      </c>
      <c r="I200">
        <v>0</v>
      </c>
      <c r="J200">
        <v>0</v>
      </c>
      <c r="K200">
        <v>0</v>
      </c>
      <c r="L200" s="1">
        <v>0</v>
      </c>
      <c r="M200" s="1">
        <v>0</v>
      </c>
      <c r="N200" s="4">
        <f t="shared" si="19"/>
        <v>1.3483333333333333E-2</v>
      </c>
      <c r="O200" s="5">
        <f t="shared" si="20"/>
        <v>8.8720333333333332E-2</v>
      </c>
      <c r="P200">
        <f t="shared" si="21"/>
        <v>76</v>
      </c>
      <c r="Q200" s="6">
        <f t="shared" si="22"/>
        <v>500.08</v>
      </c>
      <c r="R200" s="6">
        <f t="shared" si="23"/>
        <v>6.7427453333333336</v>
      </c>
      <c r="S200" t="str">
        <f t="shared" si="24"/>
        <v>Alerta</v>
      </c>
    </row>
    <row r="201" spans="1:19" x14ac:dyDescent="0.3">
      <c r="A201" t="s">
        <v>224</v>
      </c>
      <c r="B201" t="s">
        <v>19</v>
      </c>
      <c r="C201" s="5">
        <f>VLOOKUP(A201,Dim!A:B,2,0)</f>
        <v>159.1</v>
      </c>
      <c r="D201" s="1">
        <v>7.5700000000000003E-2</v>
      </c>
      <c r="E201" s="1">
        <v>8.2100000000000006E-2</v>
      </c>
      <c r="F201">
        <v>0.98</v>
      </c>
      <c r="G201" s="2">
        <v>5392500000</v>
      </c>
      <c r="H201" s="2">
        <v>6949670</v>
      </c>
      <c r="I201">
        <v>27</v>
      </c>
      <c r="J201" s="3">
        <v>3271.59</v>
      </c>
      <c r="K201">
        <v>265.08</v>
      </c>
      <c r="L201" s="1">
        <v>8.1000000000000003E-2</v>
      </c>
      <c r="M201" s="1">
        <v>3.4700000000000002E-2</v>
      </c>
      <c r="N201" s="4">
        <f t="shared" si="19"/>
        <v>6.8416666666666669E-3</v>
      </c>
      <c r="O201" s="5">
        <f t="shared" si="20"/>
        <v>1.0885091666666666</v>
      </c>
      <c r="P201">
        <f t="shared" si="21"/>
        <v>148</v>
      </c>
      <c r="Q201" s="6">
        <f t="shared" si="22"/>
        <v>23546.799999999999</v>
      </c>
      <c r="R201" s="6">
        <f t="shared" si="23"/>
        <v>161.09935666666667</v>
      </c>
      <c r="S201" t="str">
        <f t="shared" si="24"/>
        <v>Alerta</v>
      </c>
    </row>
    <row r="202" spans="1:19" x14ac:dyDescent="0.3">
      <c r="A202" t="s">
        <v>225</v>
      </c>
      <c r="B202" t="s">
        <v>28</v>
      </c>
      <c r="C202" s="5">
        <f>VLOOKUP(A202,Dim!A:B,2,0)</f>
        <v>143</v>
      </c>
      <c r="D202" s="1">
        <v>6.7999999999999996E-3</v>
      </c>
      <c r="E202" s="1">
        <v>0.1603</v>
      </c>
      <c r="F202">
        <v>0.97</v>
      </c>
      <c r="G202" s="2">
        <v>247444000</v>
      </c>
      <c r="H202" s="2">
        <v>656238</v>
      </c>
      <c r="I202">
        <v>0</v>
      </c>
      <c r="J202">
        <v>0</v>
      </c>
      <c r="K202">
        <v>0</v>
      </c>
      <c r="L202" s="1">
        <v>0</v>
      </c>
      <c r="M202" s="1">
        <v>0</v>
      </c>
      <c r="N202" s="4">
        <f t="shared" si="19"/>
        <v>1.3358333333333333E-2</v>
      </c>
      <c r="O202" s="5">
        <f t="shared" si="20"/>
        <v>1.9102416666666666</v>
      </c>
      <c r="P202">
        <f t="shared" si="21"/>
        <v>76</v>
      </c>
      <c r="Q202" s="6">
        <f t="shared" si="22"/>
        <v>10868</v>
      </c>
      <c r="R202" s="6">
        <f t="shared" si="23"/>
        <v>145.17836666666668</v>
      </c>
      <c r="S202" t="str">
        <f t="shared" si="24"/>
        <v>Alerta</v>
      </c>
    </row>
    <row r="203" spans="1:19" x14ac:dyDescent="0.3">
      <c r="A203" t="s">
        <v>226</v>
      </c>
      <c r="B203" t="s">
        <v>28</v>
      </c>
      <c r="C203" s="5">
        <f>VLOOKUP(A203,Dim!A:B,2,0)</f>
        <v>117</v>
      </c>
      <c r="D203" s="1">
        <v>7.17E-2</v>
      </c>
      <c r="E203" s="1">
        <v>9.9199999999999997E-2</v>
      </c>
      <c r="F203">
        <v>0.75</v>
      </c>
      <c r="G203" s="2">
        <v>1376650000</v>
      </c>
      <c r="H203" s="2">
        <v>1606750</v>
      </c>
      <c r="I203">
        <v>13</v>
      </c>
      <c r="J203" s="3">
        <v>7567.45</v>
      </c>
      <c r="K203">
        <v>768.25</v>
      </c>
      <c r="L203" s="1">
        <v>0.10150000000000001</v>
      </c>
      <c r="M203" s="1">
        <v>0.23480000000000001</v>
      </c>
      <c r="N203" s="4">
        <f t="shared" si="19"/>
        <v>8.266666666666667E-3</v>
      </c>
      <c r="O203" s="5">
        <f t="shared" si="20"/>
        <v>0.96720000000000006</v>
      </c>
      <c r="P203">
        <f t="shared" si="21"/>
        <v>122</v>
      </c>
      <c r="Q203" s="6">
        <f t="shared" si="22"/>
        <v>14274</v>
      </c>
      <c r="R203" s="6">
        <f t="shared" si="23"/>
        <v>117.9984</v>
      </c>
      <c r="S203" t="str">
        <f t="shared" si="24"/>
        <v>Alerta</v>
      </c>
    </row>
    <row r="204" spans="1:19" x14ac:dyDescent="0.3">
      <c r="A204" t="s">
        <v>227</v>
      </c>
      <c r="B204" t="s">
        <v>14</v>
      </c>
      <c r="C204" s="5">
        <f>VLOOKUP(A204,Dim!A:B,2,0)</f>
        <v>126.2</v>
      </c>
      <c r="D204" s="1">
        <v>9.1999999999999998E-2</v>
      </c>
      <c r="E204" s="1">
        <v>9.8500000000000004E-2</v>
      </c>
      <c r="F204">
        <v>0.99</v>
      </c>
      <c r="G204" s="2">
        <v>2943100000</v>
      </c>
      <c r="H204" s="2">
        <v>3683900</v>
      </c>
      <c r="I204">
        <v>103</v>
      </c>
      <c r="J204" s="3">
        <v>4508.2</v>
      </c>
      <c r="K204">
        <v>395.41</v>
      </c>
      <c r="L204" s="1">
        <v>8.77E-2</v>
      </c>
      <c r="M204" s="1">
        <v>8.2000000000000007E-3</v>
      </c>
      <c r="N204" s="4">
        <f t="shared" si="19"/>
        <v>8.2083333333333331E-3</v>
      </c>
      <c r="O204" s="5">
        <f t="shared" si="20"/>
        <v>1.0358916666666667</v>
      </c>
      <c r="P204">
        <f t="shared" si="21"/>
        <v>123</v>
      </c>
      <c r="Q204" s="6">
        <f t="shared" si="22"/>
        <v>15522.6</v>
      </c>
      <c r="R204" s="6">
        <f t="shared" si="23"/>
        <v>127.414675</v>
      </c>
      <c r="S204" t="str">
        <f t="shared" si="24"/>
        <v>Alerta</v>
      </c>
    </row>
    <row r="205" spans="1:19" x14ac:dyDescent="0.3">
      <c r="A205" t="s">
        <v>228</v>
      </c>
      <c r="B205" t="s">
        <v>47</v>
      </c>
      <c r="C205" s="5">
        <f>VLOOKUP(A205,Dim!A:B,2,0)</f>
        <v>186.81</v>
      </c>
      <c r="D205" s="1">
        <v>0.1011</v>
      </c>
      <c r="E205" s="1">
        <v>9.8299999999999998E-2</v>
      </c>
      <c r="F205">
        <v>0.9</v>
      </c>
      <c r="G205" s="2">
        <v>98309500</v>
      </c>
      <c r="H205">
        <v>0</v>
      </c>
      <c r="I205">
        <v>1</v>
      </c>
      <c r="J205" s="3">
        <v>2883.93</v>
      </c>
      <c r="K205">
        <v>350.72</v>
      </c>
      <c r="L205" s="1">
        <v>0.1216</v>
      </c>
      <c r="M205" s="1">
        <v>0</v>
      </c>
      <c r="N205" s="4">
        <f t="shared" si="19"/>
        <v>8.1916666666666665E-3</v>
      </c>
      <c r="O205" s="5">
        <f t="shared" si="20"/>
        <v>1.5302852499999999</v>
      </c>
      <c r="P205">
        <f t="shared" si="21"/>
        <v>124</v>
      </c>
      <c r="Q205" s="6">
        <f t="shared" si="22"/>
        <v>23164.44</v>
      </c>
      <c r="R205" s="6">
        <f t="shared" si="23"/>
        <v>189.755371</v>
      </c>
      <c r="S205" t="str">
        <f t="shared" si="24"/>
        <v>Bom</v>
      </c>
    </row>
    <row r="206" spans="1:19" x14ac:dyDescent="0.3">
      <c r="A206" t="s">
        <v>216</v>
      </c>
      <c r="B206" t="s">
        <v>19</v>
      </c>
      <c r="C206" s="5">
        <f>VLOOKUP(A206,Dim!A:B,2,0)</f>
        <v>6.17</v>
      </c>
      <c r="D206" s="1">
        <v>0.10630000000000001</v>
      </c>
      <c r="E206" s="1">
        <v>0.108</v>
      </c>
      <c r="F206">
        <v>0.82</v>
      </c>
      <c r="G206" s="2">
        <v>1420070000</v>
      </c>
      <c r="H206" s="2">
        <v>1291070</v>
      </c>
      <c r="I206">
        <v>0</v>
      </c>
      <c r="J206">
        <v>0</v>
      </c>
      <c r="K206">
        <v>0</v>
      </c>
      <c r="L206" s="1">
        <v>0</v>
      </c>
      <c r="M206" s="1">
        <v>0</v>
      </c>
      <c r="N206" s="4">
        <f t="shared" si="19"/>
        <v>8.9999999999999993E-3</v>
      </c>
      <c r="O206" s="5">
        <f t="shared" si="20"/>
        <v>5.5529999999999996E-2</v>
      </c>
      <c r="P206">
        <f t="shared" si="21"/>
        <v>113</v>
      </c>
      <c r="Q206" s="6">
        <f t="shared" si="22"/>
        <v>697.21</v>
      </c>
      <c r="R206" s="6">
        <f t="shared" si="23"/>
        <v>6.2748899999999992</v>
      </c>
      <c r="S206" t="str">
        <f t="shared" si="24"/>
        <v>Alerta</v>
      </c>
    </row>
    <row r="207" spans="1:19" x14ac:dyDescent="0.3">
      <c r="A207" t="s">
        <v>546</v>
      </c>
      <c r="B207" t="s">
        <v>14</v>
      </c>
      <c r="C207" s="5">
        <f>VLOOKUP(A207,Dim!A:B,2,0)</f>
        <v>6.24</v>
      </c>
      <c r="D207" s="1">
        <v>0.13769999999999999</v>
      </c>
      <c r="E207" s="1">
        <v>0.1242</v>
      </c>
      <c r="F207">
        <v>0.78</v>
      </c>
      <c r="G207" s="2">
        <v>265875000</v>
      </c>
      <c r="H207" s="2">
        <v>768761</v>
      </c>
      <c r="I207">
        <v>0</v>
      </c>
      <c r="J207">
        <v>0</v>
      </c>
      <c r="K207">
        <v>0</v>
      </c>
      <c r="L207" s="1">
        <v>0</v>
      </c>
      <c r="M207" s="1">
        <v>0</v>
      </c>
      <c r="N207" s="4">
        <f t="shared" si="19"/>
        <v>1.035E-2</v>
      </c>
      <c r="O207" s="5">
        <f t="shared" si="20"/>
        <v>6.4584000000000003E-2</v>
      </c>
      <c r="P207">
        <f t="shared" si="21"/>
        <v>98</v>
      </c>
      <c r="Q207" s="6">
        <f t="shared" si="22"/>
        <v>611.52</v>
      </c>
      <c r="R207" s="6">
        <f t="shared" si="23"/>
        <v>6.3292320000000002</v>
      </c>
      <c r="S207" t="str">
        <f t="shared" si="24"/>
        <v>Bom</v>
      </c>
    </row>
    <row r="208" spans="1:19" x14ac:dyDescent="0.3">
      <c r="A208" t="s">
        <v>140</v>
      </c>
      <c r="B208" t="s">
        <v>19</v>
      </c>
      <c r="C208" s="5">
        <f>VLOOKUP(A208,Dim!A:B,2,0)</f>
        <v>6.21</v>
      </c>
      <c r="D208" s="1">
        <v>0.1144</v>
      </c>
      <c r="E208" s="1">
        <v>0.11260000000000001</v>
      </c>
      <c r="F208">
        <v>0.67</v>
      </c>
      <c r="G208" s="2">
        <v>30569700</v>
      </c>
      <c r="H208">
        <v>786</v>
      </c>
      <c r="I208">
        <v>1</v>
      </c>
      <c r="J208" s="3">
        <v>1856.86</v>
      </c>
      <c r="K208">
        <v>253.54</v>
      </c>
      <c r="L208" s="1">
        <v>0.13650000000000001</v>
      </c>
      <c r="M208" s="1">
        <v>0</v>
      </c>
      <c r="N208" s="4">
        <f t="shared" si="19"/>
        <v>9.3833333333333338E-3</v>
      </c>
      <c r="O208" s="5">
        <f t="shared" si="20"/>
        <v>5.8270500000000003E-2</v>
      </c>
      <c r="P208">
        <f t="shared" si="21"/>
        <v>108</v>
      </c>
      <c r="Q208" s="6">
        <f t="shared" si="22"/>
        <v>670.68</v>
      </c>
      <c r="R208" s="6">
        <f t="shared" si="23"/>
        <v>6.2932140000000008</v>
      </c>
      <c r="S208" t="str">
        <f t="shared" si="24"/>
        <v>Bom</v>
      </c>
    </row>
    <row r="209" spans="1:19" x14ac:dyDescent="0.3">
      <c r="A209" t="s">
        <v>232</v>
      </c>
      <c r="B209" t="s">
        <v>37</v>
      </c>
      <c r="C209" s="5">
        <f>VLOOKUP(A209,Dim!A:B,2,0)</f>
        <v>86.92</v>
      </c>
      <c r="D209" s="1">
        <v>8.5900000000000004E-2</v>
      </c>
      <c r="E209" s="1">
        <v>8.7099999999999997E-2</v>
      </c>
      <c r="F209">
        <v>0.79</v>
      </c>
      <c r="G209" s="2">
        <v>48743200</v>
      </c>
      <c r="H209" s="2">
        <v>7777</v>
      </c>
      <c r="I209">
        <v>2</v>
      </c>
      <c r="J209" s="3">
        <v>1526.78</v>
      </c>
      <c r="K209">
        <v>0</v>
      </c>
      <c r="L209" s="1">
        <v>0</v>
      </c>
      <c r="M209" s="1">
        <v>0</v>
      </c>
      <c r="N209" s="4">
        <f t="shared" si="19"/>
        <v>7.2583333333333328E-3</v>
      </c>
      <c r="O209" s="5">
        <f t="shared" si="20"/>
        <v>0.63089433333333333</v>
      </c>
      <c r="P209">
        <f t="shared" si="21"/>
        <v>139</v>
      </c>
      <c r="Q209" s="6">
        <f t="shared" si="22"/>
        <v>12081.880000000001</v>
      </c>
      <c r="R209" s="6">
        <f t="shared" si="23"/>
        <v>87.694312333333329</v>
      </c>
      <c r="S209" t="str">
        <f t="shared" si="24"/>
        <v>Alerta</v>
      </c>
    </row>
    <row r="210" spans="1:19" x14ac:dyDescent="0.3">
      <c r="A210" t="s">
        <v>233</v>
      </c>
      <c r="B210" t="s">
        <v>16</v>
      </c>
      <c r="C210" s="5">
        <f>VLOOKUP(A210,Dim!A:B,2,0)</f>
        <v>92.5</v>
      </c>
      <c r="D210" s="1">
        <v>7.2599999999999998E-2</v>
      </c>
      <c r="E210" s="1">
        <v>7.1900000000000006E-2</v>
      </c>
      <c r="F210">
        <v>1</v>
      </c>
      <c r="G210" s="2">
        <v>302628000</v>
      </c>
      <c r="H210" s="2">
        <v>5184730</v>
      </c>
      <c r="I210">
        <v>1</v>
      </c>
      <c r="J210" s="3">
        <v>2246.5300000000002</v>
      </c>
      <c r="K210">
        <v>169.13</v>
      </c>
      <c r="L210" s="1">
        <v>7.5300000000000006E-2</v>
      </c>
      <c r="M210" s="1">
        <v>3.9300000000000002E-2</v>
      </c>
      <c r="N210" s="4">
        <f t="shared" si="19"/>
        <v>5.9916666666666668E-3</v>
      </c>
      <c r="O210" s="5">
        <f t="shared" si="20"/>
        <v>0.55422916666666666</v>
      </c>
      <c r="P210">
        <f t="shared" si="21"/>
        <v>168</v>
      </c>
      <c r="Q210" s="6">
        <f t="shared" si="22"/>
        <v>15540</v>
      </c>
      <c r="R210" s="6">
        <f t="shared" si="23"/>
        <v>93.110500000000002</v>
      </c>
      <c r="S210" t="str">
        <f t="shared" si="24"/>
        <v>Bom</v>
      </c>
    </row>
    <row r="211" spans="1:19" x14ac:dyDescent="0.3">
      <c r="A211" t="s">
        <v>143</v>
      </c>
      <c r="B211" t="s">
        <v>14</v>
      </c>
      <c r="C211" s="5">
        <f>VLOOKUP(A211,Dim!A:B,2,0)</f>
        <v>5.76</v>
      </c>
      <c r="D211" s="1">
        <v>0.14069999999999999</v>
      </c>
      <c r="E211" s="1">
        <v>0.13400000000000001</v>
      </c>
      <c r="F211">
        <v>0.69</v>
      </c>
      <c r="G211" s="2">
        <v>64956000</v>
      </c>
      <c r="H211" s="2">
        <v>69199</v>
      </c>
      <c r="I211">
        <v>0</v>
      </c>
      <c r="J211">
        <v>0</v>
      </c>
      <c r="K211">
        <v>0</v>
      </c>
      <c r="L211" s="1">
        <v>0</v>
      </c>
      <c r="M211" s="1">
        <v>0</v>
      </c>
      <c r="N211" s="4">
        <f t="shared" si="19"/>
        <v>1.1166666666666667E-2</v>
      </c>
      <c r="O211" s="5">
        <f t="shared" si="20"/>
        <v>6.4320000000000002E-2</v>
      </c>
      <c r="P211">
        <f t="shared" si="21"/>
        <v>91</v>
      </c>
      <c r="Q211" s="6">
        <f t="shared" si="22"/>
        <v>524.16</v>
      </c>
      <c r="R211" s="6">
        <f t="shared" si="23"/>
        <v>5.8531200000000005</v>
      </c>
      <c r="S211" t="str">
        <f t="shared" si="24"/>
        <v>Bom</v>
      </c>
    </row>
    <row r="212" spans="1:19" x14ac:dyDescent="0.3">
      <c r="A212" t="s">
        <v>517</v>
      </c>
      <c r="B212" t="s">
        <v>14</v>
      </c>
      <c r="C212" s="5">
        <f>VLOOKUP(A212,Dim!A:B,2,0)</f>
        <v>5.62</v>
      </c>
      <c r="D212" s="1">
        <v>0.14460000000000001</v>
      </c>
      <c r="E212" s="1">
        <v>0.14050000000000001</v>
      </c>
      <c r="F212">
        <v>0.65</v>
      </c>
      <c r="G212" s="2">
        <v>152246000</v>
      </c>
      <c r="H212" s="2">
        <v>190427</v>
      </c>
      <c r="I212">
        <v>7</v>
      </c>
      <c r="J212" s="3">
        <v>2221.5100000000002</v>
      </c>
      <c r="K212">
        <v>321.02</v>
      </c>
      <c r="L212" s="1">
        <v>0.14449999999999999</v>
      </c>
      <c r="M212" s="1">
        <v>3.1399999999999997E-2</v>
      </c>
      <c r="N212" s="4">
        <f t="shared" si="19"/>
        <v>1.1708333333333334E-2</v>
      </c>
      <c r="O212" s="5">
        <f t="shared" si="20"/>
        <v>6.5800833333333336E-2</v>
      </c>
      <c r="P212">
        <f t="shared" si="21"/>
        <v>87</v>
      </c>
      <c r="Q212" s="6">
        <f t="shared" si="22"/>
        <v>488.94</v>
      </c>
      <c r="R212" s="6">
        <f t="shared" si="23"/>
        <v>5.7246725000000005</v>
      </c>
      <c r="S212" t="str">
        <f t="shared" si="24"/>
        <v>Bom</v>
      </c>
    </row>
    <row r="213" spans="1:19" x14ac:dyDescent="0.3">
      <c r="A213" t="s">
        <v>236</v>
      </c>
      <c r="B213" t="s">
        <v>19</v>
      </c>
      <c r="C213" s="5">
        <f>VLOOKUP(A213,Dim!A:B,2,0)</f>
        <v>145.44999999999999</v>
      </c>
      <c r="D213" s="1">
        <v>7.3899999999999993E-2</v>
      </c>
      <c r="E213" s="1">
        <v>0.114</v>
      </c>
      <c r="F213">
        <v>1.1399999999999999</v>
      </c>
      <c r="G213" s="2">
        <v>68105800</v>
      </c>
      <c r="H213" s="2">
        <v>47638</v>
      </c>
      <c r="I213">
        <v>0</v>
      </c>
      <c r="J213">
        <v>0</v>
      </c>
      <c r="K213">
        <v>0</v>
      </c>
      <c r="L213" s="1">
        <v>0</v>
      </c>
      <c r="M213" s="1">
        <v>0</v>
      </c>
      <c r="N213" s="4">
        <f t="shared" si="19"/>
        <v>9.4999999999999998E-3</v>
      </c>
      <c r="O213" s="5">
        <f t="shared" si="20"/>
        <v>1.3817749999999998</v>
      </c>
      <c r="P213">
        <f t="shared" si="21"/>
        <v>107</v>
      </c>
      <c r="Q213" s="6">
        <f t="shared" si="22"/>
        <v>15563.15</v>
      </c>
      <c r="R213" s="6">
        <f t="shared" si="23"/>
        <v>147.84992499999998</v>
      </c>
      <c r="S213" t="str">
        <f t="shared" si="24"/>
        <v>Alerta</v>
      </c>
    </row>
    <row r="214" spans="1:19" x14ac:dyDescent="0.3">
      <c r="A214" t="s">
        <v>237</v>
      </c>
      <c r="B214" t="s">
        <v>14</v>
      </c>
      <c r="C214" s="5">
        <f>VLOOKUP(A214,Dim!A:B,2,0)</f>
        <v>76.489999999999995</v>
      </c>
      <c r="D214" s="1">
        <v>0.1439</v>
      </c>
      <c r="E214" s="1">
        <v>0.14380000000000001</v>
      </c>
      <c r="F214">
        <v>0.88</v>
      </c>
      <c r="G214" s="2">
        <v>196778000</v>
      </c>
      <c r="H214" s="2">
        <v>524707</v>
      </c>
      <c r="I214">
        <v>0</v>
      </c>
      <c r="J214">
        <v>0</v>
      </c>
      <c r="K214">
        <v>0</v>
      </c>
      <c r="L214" s="1">
        <v>0</v>
      </c>
      <c r="M214" s="1">
        <v>0</v>
      </c>
      <c r="N214" s="4">
        <f t="shared" si="19"/>
        <v>1.1983333333333334E-2</v>
      </c>
      <c r="O214" s="5">
        <f t="shared" si="20"/>
        <v>0.91660516666666658</v>
      </c>
      <c r="P214">
        <f t="shared" si="21"/>
        <v>85</v>
      </c>
      <c r="Q214" s="6">
        <f t="shared" si="22"/>
        <v>6501.65</v>
      </c>
      <c r="R214" s="6">
        <f t="shared" si="23"/>
        <v>77.911439166666653</v>
      </c>
      <c r="S214" t="str">
        <f t="shared" si="24"/>
        <v>Bom</v>
      </c>
    </row>
    <row r="215" spans="1:19" x14ac:dyDescent="0.3">
      <c r="A215" t="s">
        <v>238</v>
      </c>
      <c r="B215" t="s">
        <v>47</v>
      </c>
      <c r="C215" s="5">
        <f>VLOOKUP(A215,Dim!A:B,2,0)</f>
        <v>88.35</v>
      </c>
      <c r="D215" s="1">
        <v>9.9599999999999994E-2</v>
      </c>
      <c r="E215" s="1">
        <v>9.1899999999999996E-2</v>
      </c>
      <c r="F215">
        <v>0.8</v>
      </c>
      <c r="G215" s="2">
        <v>1110670000</v>
      </c>
      <c r="H215" s="2">
        <v>876902</v>
      </c>
      <c r="I215">
        <v>6</v>
      </c>
      <c r="J215" s="3">
        <v>2999.22</v>
      </c>
      <c r="K215">
        <v>278.32</v>
      </c>
      <c r="L215" s="1">
        <v>9.2799999999999994E-2</v>
      </c>
      <c r="M215" s="1">
        <v>0</v>
      </c>
      <c r="N215" s="4">
        <f t="shared" si="19"/>
        <v>7.658333333333333E-3</v>
      </c>
      <c r="O215" s="5">
        <f t="shared" si="20"/>
        <v>0.6766137499999999</v>
      </c>
      <c r="P215">
        <f t="shared" si="21"/>
        <v>132</v>
      </c>
      <c r="Q215" s="6">
        <f t="shared" si="22"/>
        <v>11662.199999999999</v>
      </c>
      <c r="R215" s="6">
        <f t="shared" si="23"/>
        <v>89.313014999999993</v>
      </c>
      <c r="S215" t="str">
        <f t="shared" si="24"/>
        <v>Bom</v>
      </c>
    </row>
    <row r="216" spans="1:19" x14ac:dyDescent="0.3">
      <c r="A216" t="s">
        <v>239</v>
      </c>
      <c r="B216" t="s">
        <v>16</v>
      </c>
      <c r="C216" s="5">
        <f>VLOOKUP(A216,Dim!A:B,2,0)</f>
        <v>86.29</v>
      </c>
      <c r="D216" s="1">
        <v>7.4999999999999997E-2</v>
      </c>
      <c r="E216" s="1">
        <v>9.8299999999999998E-2</v>
      </c>
      <c r="F216">
        <v>0.81</v>
      </c>
      <c r="G216" s="2">
        <v>1787880000</v>
      </c>
      <c r="H216" s="2">
        <v>4543930</v>
      </c>
      <c r="I216">
        <v>13</v>
      </c>
      <c r="J216" s="3">
        <v>7329.36</v>
      </c>
      <c r="K216">
        <v>809.3</v>
      </c>
      <c r="L216" s="1">
        <v>0.1104</v>
      </c>
      <c r="M216" s="1">
        <v>3.39E-2</v>
      </c>
      <c r="N216" s="4">
        <f t="shared" si="19"/>
        <v>8.1916666666666665E-3</v>
      </c>
      <c r="O216" s="5">
        <f t="shared" si="20"/>
        <v>0.70685891666666667</v>
      </c>
      <c r="P216">
        <f t="shared" si="21"/>
        <v>124</v>
      </c>
      <c r="Q216" s="6">
        <f t="shared" si="22"/>
        <v>10699.960000000001</v>
      </c>
      <c r="R216" s="6">
        <f t="shared" si="23"/>
        <v>87.65050566666666</v>
      </c>
      <c r="S216" t="str">
        <f t="shared" si="24"/>
        <v>Alerta</v>
      </c>
    </row>
    <row r="217" spans="1:19" x14ac:dyDescent="0.3">
      <c r="A217" t="s">
        <v>240</v>
      </c>
      <c r="B217" t="s">
        <v>14</v>
      </c>
      <c r="C217" s="5">
        <f>VLOOKUP(A217,Dim!A:B,2,0)</f>
        <v>101.49</v>
      </c>
      <c r="D217" s="1">
        <v>6.5299999999999997E-2</v>
      </c>
      <c r="E217" s="1">
        <v>0.1062</v>
      </c>
      <c r="F217">
        <v>1.1399999999999999</v>
      </c>
      <c r="G217" s="2">
        <v>903132000</v>
      </c>
      <c r="H217" s="2">
        <v>358138</v>
      </c>
      <c r="I217">
        <v>22</v>
      </c>
      <c r="J217" s="3">
        <v>7570.35</v>
      </c>
      <c r="K217">
        <v>667.59</v>
      </c>
      <c r="L217" s="1">
        <v>8.8200000000000001E-2</v>
      </c>
      <c r="M217" s="1">
        <v>0</v>
      </c>
      <c r="N217" s="4">
        <f t="shared" si="19"/>
        <v>8.8500000000000002E-3</v>
      </c>
      <c r="O217" s="5">
        <f t="shared" si="20"/>
        <v>0.8981865</v>
      </c>
      <c r="P217">
        <f t="shared" si="21"/>
        <v>114</v>
      </c>
      <c r="Q217" s="6">
        <f t="shared" si="22"/>
        <v>11569.859999999999</v>
      </c>
      <c r="R217" s="6">
        <f t="shared" si="23"/>
        <v>102.393261</v>
      </c>
      <c r="S217" t="str">
        <f t="shared" si="24"/>
        <v>Alerta</v>
      </c>
    </row>
    <row r="218" spans="1:19" x14ac:dyDescent="0.3">
      <c r="A218" t="s">
        <v>241</v>
      </c>
      <c r="B218" t="s">
        <v>91</v>
      </c>
      <c r="C218" s="5">
        <f>VLOOKUP(A218,Dim!A:B,2,0)</f>
        <v>139.19</v>
      </c>
      <c r="D218" s="1">
        <v>5.6300000000000003E-2</v>
      </c>
      <c r="E218" s="1">
        <v>0.1447</v>
      </c>
      <c r="F218">
        <v>0.95</v>
      </c>
      <c r="G218" s="2">
        <v>396651000</v>
      </c>
      <c r="H218" s="2">
        <v>609331</v>
      </c>
      <c r="I218">
        <v>21</v>
      </c>
      <c r="J218" s="3">
        <v>7241.91</v>
      </c>
      <c r="K218">
        <v>487.21</v>
      </c>
      <c r="L218" s="1">
        <v>6.7299999999999999E-2</v>
      </c>
      <c r="M218" s="1">
        <v>1</v>
      </c>
      <c r="N218" s="4">
        <f t="shared" si="19"/>
        <v>1.2058333333333332E-2</v>
      </c>
      <c r="O218" s="5">
        <f t="shared" si="20"/>
        <v>1.6783994166666665</v>
      </c>
      <c r="P218">
        <f t="shared" si="21"/>
        <v>84</v>
      </c>
      <c r="Q218" s="6">
        <f t="shared" si="22"/>
        <v>11691.96</v>
      </c>
      <c r="R218" s="6">
        <f t="shared" si="23"/>
        <v>140.98555099999999</v>
      </c>
      <c r="S218" t="str">
        <f t="shared" si="24"/>
        <v>Alerta</v>
      </c>
    </row>
    <row r="219" spans="1:19" x14ac:dyDescent="0.3">
      <c r="A219" t="s">
        <v>242</v>
      </c>
      <c r="B219" t="s">
        <v>106</v>
      </c>
      <c r="C219" s="5">
        <f>VLOOKUP(A219,Dim!A:B,2,0)</f>
        <v>93.97</v>
      </c>
      <c r="D219" s="1">
        <v>-8.2000000000000007E-3</v>
      </c>
      <c r="E219" s="1">
        <v>2.3099999999999999E-2</v>
      </c>
      <c r="F219">
        <v>0.82</v>
      </c>
      <c r="G219" s="2">
        <v>95414900</v>
      </c>
      <c r="H219" s="2">
        <v>3809</v>
      </c>
      <c r="I219">
        <v>2</v>
      </c>
      <c r="J219" s="3">
        <v>3311.13</v>
      </c>
      <c r="K219">
        <v>0</v>
      </c>
      <c r="L219" s="1">
        <v>0</v>
      </c>
      <c r="M219" s="1">
        <v>0</v>
      </c>
      <c r="N219" s="4">
        <f t="shared" si="19"/>
        <v>1.9249999999999998E-3</v>
      </c>
      <c r="O219" s="5">
        <f t="shared" si="20"/>
        <v>0.18089224999999998</v>
      </c>
      <c r="P219">
        <f t="shared" si="21"/>
        <v>521</v>
      </c>
      <c r="Q219" s="6">
        <f t="shared" si="22"/>
        <v>48958.37</v>
      </c>
      <c r="R219" s="6">
        <f t="shared" si="23"/>
        <v>94.244862249999983</v>
      </c>
      <c r="S219" t="str">
        <f t="shared" si="24"/>
        <v>Alerta</v>
      </c>
    </row>
    <row r="220" spans="1:19" x14ac:dyDescent="0.3">
      <c r="A220" t="s">
        <v>243</v>
      </c>
      <c r="B220" t="s">
        <v>106</v>
      </c>
      <c r="C220" s="5">
        <f>VLOOKUP(A220,Dim!A:B,2,0)</f>
        <v>92.7</v>
      </c>
      <c r="D220" s="1">
        <v>9.9599999999999994E-2</v>
      </c>
      <c r="E220" s="1">
        <v>0.11459999999999999</v>
      </c>
      <c r="F220">
        <v>0.62</v>
      </c>
      <c r="G220" s="2">
        <v>79296500</v>
      </c>
      <c r="H220" s="2">
        <v>8679</v>
      </c>
      <c r="I220">
        <v>1</v>
      </c>
      <c r="J220" s="3">
        <v>1052.99</v>
      </c>
      <c r="K220">
        <v>129.4</v>
      </c>
      <c r="L220" s="1">
        <v>0.1229</v>
      </c>
      <c r="M220" s="1">
        <v>0</v>
      </c>
      <c r="N220" s="4">
        <f t="shared" si="19"/>
        <v>9.5499999999999995E-3</v>
      </c>
      <c r="O220" s="5">
        <f t="shared" si="20"/>
        <v>0.88528499999999999</v>
      </c>
      <c r="P220">
        <f t="shared" si="21"/>
        <v>106</v>
      </c>
      <c r="Q220" s="6">
        <f t="shared" si="22"/>
        <v>9826.2000000000007</v>
      </c>
      <c r="R220" s="6">
        <f t="shared" si="23"/>
        <v>93.840209999999999</v>
      </c>
      <c r="S220" t="str">
        <f t="shared" si="24"/>
        <v>Alerta</v>
      </c>
    </row>
    <row r="221" spans="1:19" x14ac:dyDescent="0.3">
      <c r="A221" t="s">
        <v>244</v>
      </c>
      <c r="B221" t="s">
        <v>106</v>
      </c>
      <c r="C221" s="5">
        <f>VLOOKUP(A221,Dim!A:B,2,0)</f>
        <v>1249</v>
      </c>
      <c r="D221" s="1">
        <v>8.4000000000000005E-2</v>
      </c>
      <c r="E221" s="1">
        <v>8.3099999999999993E-2</v>
      </c>
      <c r="F221">
        <v>1</v>
      </c>
      <c r="G221" s="2">
        <v>145336000</v>
      </c>
      <c r="H221">
        <v>55</v>
      </c>
      <c r="I221">
        <v>1</v>
      </c>
      <c r="J221" s="3">
        <v>7092.19</v>
      </c>
      <c r="K221">
        <v>639.9</v>
      </c>
      <c r="L221" s="1">
        <v>9.0200000000000002E-2</v>
      </c>
      <c r="M221" s="1">
        <v>0</v>
      </c>
      <c r="N221" s="4">
        <f t="shared" si="19"/>
        <v>6.9249999999999997E-3</v>
      </c>
      <c r="O221" s="5">
        <f t="shared" si="20"/>
        <v>8.6493249999999993</v>
      </c>
      <c r="P221">
        <f t="shared" si="21"/>
        <v>146</v>
      </c>
      <c r="Q221" s="6">
        <f t="shared" si="22"/>
        <v>182354</v>
      </c>
      <c r="R221" s="6">
        <f t="shared" si="23"/>
        <v>1262.8014499999999</v>
      </c>
      <c r="S221" t="str">
        <f t="shared" si="24"/>
        <v>Bom</v>
      </c>
    </row>
    <row r="222" spans="1:19" x14ac:dyDescent="0.3">
      <c r="A222" t="s">
        <v>245</v>
      </c>
      <c r="B222" t="s">
        <v>19</v>
      </c>
      <c r="C222" s="5">
        <f>VLOOKUP(A222,Dim!A:B,2,0)</f>
        <v>181.5</v>
      </c>
      <c r="D222" s="1">
        <v>-4.1999999999999997E-3</v>
      </c>
      <c r="E222" s="1">
        <v>8.0000000000000002E-3</v>
      </c>
      <c r="F222">
        <v>1.0900000000000001</v>
      </c>
      <c r="G222" s="2">
        <v>237094000</v>
      </c>
      <c r="H222">
        <v>0</v>
      </c>
      <c r="I222">
        <v>1</v>
      </c>
      <c r="J222" s="3">
        <v>18295.7</v>
      </c>
      <c r="K222">
        <v>136.63</v>
      </c>
      <c r="L222" s="1">
        <v>7.4999999999999997E-3</v>
      </c>
      <c r="M222" s="1">
        <v>1.83E-2</v>
      </c>
      <c r="N222" s="4">
        <f t="shared" si="19"/>
        <v>6.6666666666666664E-4</v>
      </c>
      <c r="O222" s="5">
        <f t="shared" si="20"/>
        <v>0.121</v>
      </c>
      <c r="P222">
        <f t="shared" si="21"/>
        <v>1501</v>
      </c>
      <c r="Q222" s="6">
        <f t="shared" si="22"/>
        <v>272431.5</v>
      </c>
      <c r="R222" s="6">
        <f t="shared" si="23"/>
        <v>181.62099999999998</v>
      </c>
      <c r="S222" t="str">
        <f t="shared" si="24"/>
        <v>Alerta</v>
      </c>
    </row>
    <row r="223" spans="1:19" x14ac:dyDescent="0.3">
      <c r="A223" t="s">
        <v>426</v>
      </c>
      <c r="B223" t="s">
        <v>19</v>
      </c>
      <c r="C223" s="5">
        <f>VLOOKUP(A223,Dim!A:B,2,0)</f>
        <v>5.33</v>
      </c>
      <c r="D223" s="1">
        <v>-4.7199999999999999E-2</v>
      </c>
      <c r="E223" s="1">
        <v>7.6300000000000007E-2</v>
      </c>
      <c r="F223">
        <v>0.37</v>
      </c>
      <c r="G223" s="2">
        <v>5483080</v>
      </c>
      <c r="H223" s="2">
        <v>10279</v>
      </c>
      <c r="I223">
        <v>0</v>
      </c>
      <c r="J223">
        <v>0</v>
      </c>
      <c r="K223">
        <v>0</v>
      </c>
      <c r="L223" s="1">
        <v>0</v>
      </c>
      <c r="M223" s="1">
        <v>0</v>
      </c>
      <c r="N223" s="4">
        <f t="shared" si="19"/>
        <v>6.3583333333333339E-3</v>
      </c>
      <c r="O223" s="5">
        <f t="shared" si="20"/>
        <v>3.3889916666666672E-2</v>
      </c>
      <c r="P223">
        <f t="shared" si="21"/>
        <v>159</v>
      </c>
      <c r="Q223" s="6">
        <f t="shared" si="22"/>
        <v>847.47</v>
      </c>
      <c r="R223" s="6">
        <f t="shared" si="23"/>
        <v>5.3884967500000007</v>
      </c>
      <c r="S223" t="str">
        <f t="shared" si="24"/>
        <v>Alerta</v>
      </c>
    </row>
    <row r="224" spans="1:19" x14ac:dyDescent="0.3">
      <c r="A224" t="s">
        <v>515</v>
      </c>
      <c r="B224" t="s">
        <v>19</v>
      </c>
      <c r="C224" s="5">
        <f>VLOOKUP(A224,Dim!A:B,2,0)</f>
        <v>4.9400000000000004</v>
      </c>
      <c r="D224" s="1">
        <v>0.12720000000000001</v>
      </c>
      <c r="E224" s="1">
        <v>0.1255</v>
      </c>
      <c r="F224">
        <v>0.5</v>
      </c>
      <c r="G224" s="2">
        <v>414131000</v>
      </c>
      <c r="H224" s="2">
        <v>535029</v>
      </c>
      <c r="I224">
        <v>10</v>
      </c>
      <c r="J224" s="3">
        <v>6063.13</v>
      </c>
      <c r="K224" s="3">
        <v>1038.98</v>
      </c>
      <c r="L224" s="1">
        <v>0.1714</v>
      </c>
      <c r="M224" s="1">
        <v>0</v>
      </c>
      <c r="N224" s="4">
        <f t="shared" si="19"/>
        <v>1.0458333333333333E-2</v>
      </c>
      <c r="O224" s="5">
        <f t="shared" si="20"/>
        <v>5.1664166666666671E-2</v>
      </c>
      <c r="P224">
        <f t="shared" si="21"/>
        <v>97</v>
      </c>
      <c r="Q224" s="6">
        <f t="shared" si="22"/>
        <v>479.18000000000006</v>
      </c>
      <c r="R224" s="6">
        <f t="shared" si="23"/>
        <v>5.011424166666667</v>
      </c>
      <c r="S224" t="str">
        <f t="shared" si="24"/>
        <v>Bom</v>
      </c>
    </row>
    <row r="225" spans="1:19" x14ac:dyDescent="0.3">
      <c r="A225" t="s">
        <v>124</v>
      </c>
      <c r="B225" t="s">
        <v>28</v>
      </c>
      <c r="C225" s="5">
        <f>VLOOKUP(A225,Dim!A:B,2,0)</f>
        <v>4.71</v>
      </c>
      <c r="D225" s="1">
        <v>-0.22359999999999999</v>
      </c>
      <c r="E225" s="1">
        <v>0</v>
      </c>
      <c r="F225">
        <v>0.25</v>
      </c>
      <c r="G225" s="2">
        <v>25955300</v>
      </c>
      <c r="H225" s="2">
        <v>1488</v>
      </c>
      <c r="I225">
        <v>1</v>
      </c>
      <c r="J225">
        <v>540.6</v>
      </c>
      <c r="K225">
        <v>1.1599999999999999</v>
      </c>
      <c r="L225" s="1">
        <v>2.0999999999999999E-3</v>
      </c>
      <c r="M225" s="1">
        <v>1</v>
      </c>
      <c r="N225" s="4">
        <f t="shared" si="19"/>
        <v>0</v>
      </c>
      <c r="O225" s="5">
        <f t="shared" si="20"/>
        <v>0</v>
      </c>
      <c r="P225" t="e">
        <f t="shared" si="21"/>
        <v>#DIV/0!</v>
      </c>
      <c r="Q225" s="6" t="e">
        <f t="shared" si="22"/>
        <v>#DIV/0!</v>
      </c>
      <c r="R225" s="6" t="e">
        <f t="shared" si="23"/>
        <v>#DIV/0!</v>
      </c>
      <c r="S225" t="str">
        <f t="shared" si="24"/>
        <v>Alerta</v>
      </c>
    </row>
    <row r="226" spans="1:19" x14ac:dyDescent="0.3">
      <c r="A226" t="s">
        <v>249</v>
      </c>
      <c r="B226" t="s">
        <v>14</v>
      </c>
      <c r="C226" s="5">
        <f>VLOOKUP(A226,Dim!A:B,2,0)</f>
        <v>48.2</v>
      </c>
      <c r="D226" s="1">
        <v>0.12759999999999999</v>
      </c>
      <c r="E226" s="1">
        <v>0.20369999999999999</v>
      </c>
      <c r="F226">
        <v>0.52</v>
      </c>
      <c r="G226" s="2">
        <v>45659300</v>
      </c>
      <c r="H226" s="2">
        <v>132914</v>
      </c>
      <c r="I226">
        <v>0</v>
      </c>
      <c r="J226">
        <v>0</v>
      </c>
      <c r="K226">
        <v>0</v>
      </c>
      <c r="L226" s="1">
        <v>0</v>
      </c>
      <c r="M226" s="1">
        <v>0</v>
      </c>
      <c r="N226" s="4">
        <f t="shared" si="19"/>
        <v>1.6975000000000001E-2</v>
      </c>
      <c r="O226" s="5">
        <f t="shared" si="20"/>
        <v>0.81819500000000012</v>
      </c>
      <c r="P226">
        <f t="shared" si="21"/>
        <v>60</v>
      </c>
      <c r="Q226" s="6">
        <f t="shared" si="22"/>
        <v>2892</v>
      </c>
      <c r="R226" s="6">
        <f t="shared" si="23"/>
        <v>49.09170000000001</v>
      </c>
      <c r="S226" t="str">
        <f t="shared" si="24"/>
        <v>Alerta</v>
      </c>
    </row>
    <row r="227" spans="1:19" x14ac:dyDescent="0.3">
      <c r="A227" t="s">
        <v>450</v>
      </c>
      <c r="B227" t="s">
        <v>19</v>
      </c>
      <c r="C227" s="5">
        <f>VLOOKUP(A227,Dim!A:B,2,0)</f>
        <v>4.75</v>
      </c>
      <c r="D227" s="1">
        <v>5.7799999999999997E-2</v>
      </c>
      <c r="E227" s="1">
        <v>4.4200000000000003E-2</v>
      </c>
      <c r="F227">
        <v>0.61</v>
      </c>
      <c r="G227" s="2">
        <v>442324000</v>
      </c>
      <c r="H227" s="2">
        <v>476777</v>
      </c>
      <c r="I227">
        <v>2</v>
      </c>
      <c r="J227" s="3">
        <v>2518.56</v>
      </c>
      <c r="K227">
        <v>240.13</v>
      </c>
      <c r="L227" s="1">
        <v>9.5299999999999996E-2</v>
      </c>
      <c r="M227" s="1">
        <v>0.39190000000000003</v>
      </c>
      <c r="N227" s="4">
        <f t="shared" si="19"/>
        <v>3.6833333333333336E-3</v>
      </c>
      <c r="O227" s="5">
        <f t="shared" si="20"/>
        <v>1.7495833333333335E-2</v>
      </c>
      <c r="P227">
        <f t="shared" si="21"/>
        <v>273</v>
      </c>
      <c r="Q227" s="6">
        <f t="shared" si="22"/>
        <v>1296.75</v>
      </c>
      <c r="R227" s="6">
        <f t="shared" si="23"/>
        <v>4.7763625000000003</v>
      </c>
      <c r="S227" t="str">
        <f t="shared" si="24"/>
        <v>Bom</v>
      </c>
    </row>
    <row r="228" spans="1:19" x14ac:dyDescent="0.3">
      <c r="A228" t="s">
        <v>251</v>
      </c>
      <c r="B228" t="s">
        <v>14</v>
      </c>
      <c r="C228" s="5">
        <f>VLOOKUP(A228,Dim!A:B,2,0)</f>
        <v>89.25</v>
      </c>
      <c r="D228" s="1">
        <v>0.1183</v>
      </c>
      <c r="E228" s="1">
        <v>0.15049999999999999</v>
      </c>
      <c r="F228">
        <v>0.89</v>
      </c>
      <c r="G228" s="2">
        <v>345234000</v>
      </c>
      <c r="H228" s="2">
        <v>660156</v>
      </c>
      <c r="I228">
        <v>0</v>
      </c>
      <c r="J228">
        <v>0</v>
      </c>
      <c r="K228">
        <v>0</v>
      </c>
      <c r="L228" s="1">
        <v>0</v>
      </c>
      <c r="M228" s="1">
        <v>0</v>
      </c>
      <c r="N228" s="4">
        <f t="shared" si="19"/>
        <v>1.2541666666666666E-2</v>
      </c>
      <c r="O228" s="5">
        <f t="shared" si="20"/>
        <v>1.1193437499999999</v>
      </c>
      <c r="P228">
        <f t="shared" si="21"/>
        <v>81</v>
      </c>
      <c r="Q228" s="6">
        <f t="shared" si="22"/>
        <v>7229.25</v>
      </c>
      <c r="R228" s="6">
        <f t="shared" si="23"/>
        <v>90.666843749999984</v>
      </c>
      <c r="S228" t="str">
        <f t="shared" si="24"/>
        <v>Alerta</v>
      </c>
    </row>
    <row r="229" spans="1:19" x14ac:dyDescent="0.3">
      <c r="A229" t="s">
        <v>234</v>
      </c>
      <c r="B229" t="s">
        <v>19</v>
      </c>
      <c r="C229" s="5">
        <f>VLOOKUP(A229,Dim!A:B,2,0)</f>
        <v>4</v>
      </c>
      <c r="D229" s="1">
        <v>-2.3999999999999998E-3</v>
      </c>
      <c r="E229" s="1">
        <v>0</v>
      </c>
      <c r="F229">
        <v>0.6</v>
      </c>
      <c r="G229" s="2">
        <v>6373180</v>
      </c>
      <c r="H229">
        <v>586</v>
      </c>
      <c r="I229">
        <v>0</v>
      </c>
      <c r="J229">
        <v>0</v>
      </c>
      <c r="K229">
        <v>0</v>
      </c>
      <c r="L229" s="1">
        <v>0</v>
      </c>
      <c r="M229" s="1">
        <v>0</v>
      </c>
      <c r="N229" s="4">
        <f t="shared" si="19"/>
        <v>0</v>
      </c>
      <c r="O229" s="5">
        <f t="shared" si="20"/>
        <v>0</v>
      </c>
      <c r="P229" t="e">
        <f t="shared" si="21"/>
        <v>#DIV/0!</v>
      </c>
      <c r="Q229" s="6" t="e">
        <f t="shared" si="22"/>
        <v>#DIV/0!</v>
      </c>
      <c r="R229" s="6" t="e">
        <f t="shared" si="23"/>
        <v>#DIV/0!</v>
      </c>
      <c r="S229" t="str">
        <f t="shared" si="24"/>
        <v>Alerta</v>
      </c>
    </row>
    <row r="230" spans="1:19" x14ac:dyDescent="0.3">
      <c r="A230" t="s">
        <v>461</v>
      </c>
      <c r="B230" t="s">
        <v>47</v>
      </c>
      <c r="C230" s="5">
        <f>VLOOKUP(A230,Dim!A:B,2,0)</f>
        <v>2.86</v>
      </c>
      <c r="D230" s="1">
        <v>-4.8800000000000003E-2</v>
      </c>
      <c r="E230" s="1">
        <v>0</v>
      </c>
      <c r="F230">
        <v>2.76</v>
      </c>
      <c r="G230" s="2">
        <v>31332400</v>
      </c>
      <c r="H230" s="2">
        <v>26919</v>
      </c>
      <c r="I230">
        <v>0</v>
      </c>
      <c r="J230">
        <v>0</v>
      </c>
      <c r="K230">
        <v>0</v>
      </c>
      <c r="L230" s="1">
        <v>0</v>
      </c>
      <c r="M230" s="1">
        <v>0</v>
      </c>
      <c r="N230" s="4">
        <f t="shared" si="19"/>
        <v>0</v>
      </c>
      <c r="O230" s="5">
        <f t="shared" si="20"/>
        <v>0</v>
      </c>
      <c r="P230" t="e">
        <f t="shared" si="21"/>
        <v>#DIV/0!</v>
      </c>
      <c r="Q230" s="6" t="e">
        <f t="shared" si="22"/>
        <v>#DIV/0!</v>
      </c>
      <c r="R230" s="6" t="e">
        <f t="shared" si="23"/>
        <v>#DIV/0!</v>
      </c>
      <c r="S230" t="str">
        <f t="shared" si="24"/>
        <v>Alerta</v>
      </c>
    </row>
    <row r="231" spans="1:19" x14ac:dyDescent="0.3">
      <c r="A231" t="s">
        <v>247</v>
      </c>
      <c r="B231" t="s">
        <v>19</v>
      </c>
      <c r="C231" s="5">
        <f>VLOOKUP(A231,Dim!A:B,2,0)</f>
        <v>3.97</v>
      </c>
      <c r="D231" s="1">
        <v>4.0000000000000002E-4</v>
      </c>
      <c r="E231" s="1">
        <v>1.2200000000000001E-2</v>
      </c>
      <c r="F231">
        <v>0.64</v>
      </c>
      <c r="G231" s="2">
        <v>11023900</v>
      </c>
      <c r="H231" s="2">
        <v>19954</v>
      </c>
      <c r="I231">
        <v>0</v>
      </c>
      <c r="J231">
        <v>0</v>
      </c>
      <c r="K231">
        <v>0</v>
      </c>
      <c r="L231" s="1">
        <v>0</v>
      </c>
      <c r="M231" s="1">
        <v>0</v>
      </c>
      <c r="N231" s="4">
        <f t="shared" si="19"/>
        <v>1.0166666666666668E-3</v>
      </c>
      <c r="O231" s="5">
        <f t="shared" si="20"/>
        <v>4.0361666666666671E-3</v>
      </c>
      <c r="P231">
        <f t="shared" si="21"/>
        <v>985</v>
      </c>
      <c r="Q231" s="6">
        <f t="shared" si="22"/>
        <v>3910.4500000000003</v>
      </c>
      <c r="R231" s="6">
        <f t="shared" si="23"/>
        <v>3.975624166666667</v>
      </c>
      <c r="S231" t="str">
        <f t="shared" si="24"/>
        <v>Alerta</v>
      </c>
    </row>
    <row r="232" spans="1:19" x14ac:dyDescent="0.3">
      <c r="A232" t="s">
        <v>134</v>
      </c>
      <c r="B232" t="s">
        <v>14</v>
      </c>
      <c r="C232" s="5">
        <f>VLOOKUP(A232,Dim!A:B,2,0)</f>
        <v>3.97</v>
      </c>
      <c r="D232" s="1">
        <v>7.2400000000000006E-2</v>
      </c>
      <c r="E232" s="1">
        <v>2.5399999999999999E-2</v>
      </c>
      <c r="F232">
        <v>0.39</v>
      </c>
      <c r="G232" s="2">
        <v>66864700</v>
      </c>
      <c r="H232" s="2">
        <v>153219</v>
      </c>
      <c r="I232">
        <v>4</v>
      </c>
      <c r="J232" s="3">
        <v>2709.81</v>
      </c>
      <c r="K232">
        <v>504.29</v>
      </c>
      <c r="L232" s="1">
        <v>0.18609999999999999</v>
      </c>
      <c r="M232" s="1">
        <v>8.5400000000000004E-2</v>
      </c>
      <c r="N232" s="4">
        <f t="shared" si="19"/>
        <v>2.1166666666666664E-3</v>
      </c>
      <c r="O232" s="5">
        <f t="shared" si="20"/>
        <v>8.4031666666666664E-3</v>
      </c>
      <c r="P232">
        <f t="shared" si="21"/>
        <v>474</v>
      </c>
      <c r="Q232" s="6">
        <f t="shared" si="22"/>
        <v>1881.7800000000002</v>
      </c>
      <c r="R232" s="6">
        <f t="shared" si="23"/>
        <v>3.983101</v>
      </c>
      <c r="S232" t="str">
        <f t="shared" si="24"/>
        <v>Bom</v>
      </c>
    </row>
    <row r="233" spans="1:19" x14ac:dyDescent="0.3">
      <c r="A233" t="s">
        <v>256</v>
      </c>
      <c r="B233" t="s">
        <v>47</v>
      </c>
      <c r="C233" s="5">
        <f>VLOOKUP(A233,Dim!A:B,2,0)</f>
        <v>74.09</v>
      </c>
      <c r="D233" s="1">
        <v>0.126</v>
      </c>
      <c r="E233" s="1">
        <v>0.1229</v>
      </c>
      <c r="F233">
        <v>0.74</v>
      </c>
      <c r="G233" s="2">
        <v>334302000</v>
      </c>
      <c r="H233" s="2">
        <v>133954</v>
      </c>
      <c r="I233">
        <v>5</v>
      </c>
      <c r="J233" s="3">
        <v>2777.94</v>
      </c>
      <c r="K233">
        <v>375.13</v>
      </c>
      <c r="L233" s="1">
        <v>0.13500000000000001</v>
      </c>
      <c r="M233" s="1">
        <v>8.3999999999999995E-3</v>
      </c>
      <c r="N233" s="4">
        <f t="shared" si="19"/>
        <v>1.0241666666666666E-2</v>
      </c>
      <c r="O233" s="5">
        <f t="shared" si="20"/>
        <v>0.7588050833333333</v>
      </c>
      <c r="P233">
        <f t="shared" si="21"/>
        <v>99</v>
      </c>
      <c r="Q233" s="6">
        <f t="shared" si="22"/>
        <v>7334.9100000000008</v>
      </c>
      <c r="R233" s="6">
        <f t="shared" si="23"/>
        <v>75.121703249999996</v>
      </c>
      <c r="S233" t="str">
        <f t="shared" si="24"/>
        <v>Bom</v>
      </c>
    </row>
    <row r="234" spans="1:19" x14ac:dyDescent="0.3">
      <c r="A234" t="s">
        <v>257</v>
      </c>
      <c r="B234" t="s">
        <v>37</v>
      </c>
      <c r="C234" s="5">
        <f>VLOOKUP(A234,Dim!A:B,2,0)</f>
        <v>75.2</v>
      </c>
      <c r="D234" s="1">
        <v>9.9900000000000003E-2</v>
      </c>
      <c r="E234" s="1">
        <v>9.8199999999999996E-2</v>
      </c>
      <c r="F234">
        <v>0.63</v>
      </c>
      <c r="G234" s="2">
        <v>84418500</v>
      </c>
      <c r="H234" s="2">
        <v>50991</v>
      </c>
      <c r="I234">
        <v>5</v>
      </c>
      <c r="J234" s="3">
        <v>3206.92</v>
      </c>
      <c r="K234">
        <v>447.58</v>
      </c>
      <c r="L234" s="1">
        <v>0.1396</v>
      </c>
      <c r="M234" s="1">
        <v>1.8700000000000001E-2</v>
      </c>
      <c r="N234" s="4">
        <f t="shared" si="19"/>
        <v>8.1833333333333324E-3</v>
      </c>
      <c r="O234" s="5">
        <f t="shared" si="20"/>
        <v>0.61538666666666664</v>
      </c>
      <c r="P234">
        <f t="shared" si="21"/>
        <v>124</v>
      </c>
      <c r="Q234" s="6">
        <f t="shared" si="22"/>
        <v>9324.8000000000011</v>
      </c>
      <c r="R234" s="6">
        <f t="shared" si="23"/>
        <v>76.307946666666666</v>
      </c>
      <c r="S234" t="str">
        <f t="shared" si="24"/>
        <v>Bom</v>
      </c>
    </row>
    <row r="235" spans="1:19" x14ac:dyDescent="0.3">
      <c r="A235" t="s">
        <v>258</v>
      </c>
      <c r="B235" t="s">
        <v>14</v>
      </c>
      <c r="C235" s="5">
        <f>VLOOKUP(A235,Dim!A:B,2,0)</f>
        <v>58.5</v>
      </c>
      <c r="D235" s="1">
        <v>0.1673</v>
      </c>
      <c r="E235" s="1">
        <v>0.16139999999999999</v>
      </c>
      <c r="F235">
        <v>0.73</v>
      </c>
      <c r="G235" s="2">
        <v>2175730000</v>
      </c>
      <c r="H235" s="2">
        <v>4024250</v>
      </c>
      <c r="I235">
        <v>0</v>
      </c>
      <c r="J235">
        <v>0</v>
      </c>
      <c r="K235">
        <v>0</v>
      </c>
      <c r="L235" s="1">
        <v>0</v>
      </c>
      <c r="M235" s="1">
        <v>0</v>
      </c>
      <c r="N235" s="4">
        <f t="shared" si="19"/>
        <v>1.3449999999999998E-2</v>
      </c>
      <c r="O235" s="5">
        <f t="shared" si="20"/>
        <v>0.78682499999999989</v>
      </c>
      <c r="P235">
        <f t="shared" si="21"/>
        <v>76</v>
      </c>
      <c r="Q235" s="6">
        <f t="shared" si="22"/>
        <v>4446</v>
      </c>
      <c r="R235" s="6">
        <f t="shared" si="23"/>
        <v>59.79869999999999</v>
      </c>
      <c r="S235" t="str">
        <f t="shared" si="24"/>
        <v>Bom</v>
      </c>
    </row>
    <row r="236" spans="1:19" x14ac:dyDescent="0.3">
      <c r="A236" t="s">
        <v>259</v>
      </c>
      <c r="B236" t="s">
        <v>14</v>
      </c>
      <c r="C236" s="5">
        <f>VLOOKUP(A236,Dim!A:B,2,0)</f>
        <v>72</v>
      </c>
      <c r="D236" s="1">
        <v>0.14990000000000001</v>
      </c>
      <c r="E236" s="1">
        <v>0.1426</v>
      </c>
      <c r="F236">
        <v>0.83</v>
      </c>
      <c r="G236" s="2">
        <v>132730000</v>
      </c>
      <c r="H236" s="2">
        <v>74613</v>
      </c>
      <c r="I236">
        <v>1</v>
      </c>
      <c r="J236">
        <v>45.73</v>
      </c>
      <c r="K236">
        <v>0</v>
      </c>
      <c r="L236" s="1">
        <v>0</v>
      </c>
      <c r="M236" s="1">
        <v>0</v>
      </c>
      <c r="N236" s="4">
        <f t="shared" si="19"/>
        <v>1.1883333333333334E-2</v>
      </c>
      <c r="O236" s="5">
        <f t="shared" si="20"/>
        <v>0.85560000000000003</v>
      </c>
      <c r="P236">
        <f t="shared" si="21"/>
        <v>86</v>
      </c>
      <c r="Q236" s="6">
        <f t="shared" si="22"/>
        <v>6192</v>
      </c>
      <c r="R236" s="6">
        <f t="shared" si="23"/>
        <v>73.581600000000009</v>
      </c>
      <c r="S236" t="str">
        <f t="shared" si="24"/>
        <v>Bom</v>
      </c>
    </row>
    <row r="237" spans="1:19" x14ac:dyDescent="0.3">
      <c r="A237" t="s">
        <v>260</v>
      </c>
      <c r="B237" t="s">
        <v>14</v>
      </c>
      <c r="C237" s="5">
        <f>VLOOKUP(A237,Dim!A:B,2,0)</f>
        <v>50.71</v>
      </c>
      <c r="D237" s="1">
        <v>0.18490000000000001</v>
      </c>
      <c r="E237" s="1">
        <v>0.2427</v>
      </c>
      <c r="F237">
        <v>0.3</v>
      </c>
      <c r="G237" s="2">
        <v>9515730</v>
      </c>
      <c r="H237" s="2">
        <v>5791</v>
      </c>
      <c r="I237">
        <v>0</v>
      </c>
      <c r="J237">
        <v>0</v>
      </c>
      <c r="K237">
        <v>0</v>
      </c>
      <c r="L237" s="1">
        <v>0</v>
      </c>
      <c r="M237" s="1">
        <v>0</v>
      </c>
      <c r="N237" s="4">
        <f t="shared" si="19"/>
        <v>2.0225E-2</v>
      </c>
      <c r="O237" s="5">
        <f t="shared" si="20"/>
        <v>1.0256097500000001</v>
      </c>
      <c r="P237">
        <f t="shared" si="21"/>
        <v>51</v>
      </c>
      <c r="Q237" s="6">
        <f t="shared" si="22"/>
        <v>2586.21</v>
      </c>
      <c r="R237" s="6">
        <f t="shared" si="23"/>
        <v>52.306097250000008</v>
      </c>
      <c r="S237" t="str">
        <f t="shared" si="24"/>
        <v>Alerta</v>
      </c>
    </row>
    <row r="238" spans="1:19" x14ac:dyDescent="0.3">
      <c r="A238" t="s">
        <v>261</v>
      </c>
      <c r="B238" t="s">
        <v>14</v>
      </c>
      <c r="C238" s="5">
        <f>VLOOKUP(A238,Dim!A:B,2,0)</f>
        <v>65.2</v>
      </c>
      <c r="D238" s="1">
        <v>-8.0000000000000002E-3</v>
      </c>
      <c r="E238" s="1">
        <v>0.1341</v>
      </c>
      <c r="F238">
        <v>0.95</v>
      </c>
      <c r="G238" s="2">
        <v>48427800</v>
      </c>
      <c r="H238" s="2">
        <v>75860</v>
      </c>
      <c r="I238">
        <v>0</v>
      </c>
      <c r="J238">
        <v>0</v>
      </c>
      <c r="K238">
        <v>0</v>
      </c>
      <c r="L238" s="1">
        <v>0</v>
      </c>
      <c r="M238" s="1">
        <v>0</v>
      </c>
      <c r="N238" s="4">
        <f t="shared" si="19"/>
        <v>1.1174999999999999E-2</v>
      </c>
      <c r="O238" s="5">
        <f t="shared" si="20"/>
        <v>0.72860999999999998</v>
      </c>
      <c r="P238">
        <f t="shared" si="21"/>
        <v>91</v>
      </c>
      <c r="Q238" s="6">
        <f t="shared" si="22"/>
        <v>5933.2</v>
      </c>
      <c r="R238" s="6">
        <f t="shared" si="23"/>
        <v>66.303510000000003</v>
      </c>
      <c r="S238" t="str">
        <f t="shared" si="24"/>
        <v>Alerta</v>
      </c>
    </row>
    <row r="239" spans="1:19" x14ac:dyDescent="0.3">
      <c r="A239" t="s">
        <v>262</v>
      </c>
      <c r="B239" t="s">
        <v>14</v>
      </c>
      <c r="C239" s="5">
        <f>VLOOKUP(A239,Dim!A:B,2,0)</f>
        <v>69.209999999999994</v>
      </c>
      <c r="D239" s="1">
        <v>0.1069</v>
      </c>
      <c r="E239" s="1">
        <v>0.10730000000000001</v>
      </c>
      <c r="F239">
        <v>0.88</v>
      </c>
      <c r="G239" s="2">
        <v>61620800</v>
      </c>
      <c r="H239" s="2">
        <v>129889</v>
      </c>
      <c r="I239">
        <v>0</v>
      </c>
      <c r="J239">
        <v>0</v>
      </c>
      <c r="K239">
        <v>0</v>
      </c>
      <c r="L239" s="1">
        <v>0</v>
      </c>
      <c r="M239" s="1">
        <v>0</v>
      </c>
      <c r="N239" s="4">
        <f t="shared" si="19"/>
        <v>8.9416666666666672E-3</v>
      </c>
      <c r="O239" s="5">
        <f t="shared" si="20"/>
        <v>0.61885274999999995</v>
      </c>
      <c r="P239">
        <f t="shared" si="21"/>
        <v>113</v>
      </c>
      <c r="Q239" s="6">
        <f t="shared" si="22"/>
        <v>7820.73</v>
      </c>
      <c r="R239" s="6">
        <f t="shared" si="23"/>
        <v>69.930360749999991</v>
      </c>
      <c r="S239" t="str">
        <f t="shared" si="24"/>
        <v>Alerta</v>
      </c>
    </row>
    <row r="240" spans="1:19" x14ac:dyDescent="0.3">
      <c r="A240" t="s">
        <v>263</v>
      </c>
      <c r="B240" t="s">
        <v>14</v>
      </c>
      <c r="C240" s="5">
        <f>VLOOKUP(A240,Dim!A:B,2,0)</f>
        <v>79.040000000000006</v>
      </c>
      <c r="D240" s="1">
        <v>0.1179</v>
      </c>
      <c r="E240" s="1">
        <v>0.11990000000000001</v>
      </c>
      <c r="F240">
        <v>0.83</v>
      </c>
      <c r="G240" s="2">
        <v>490562000</v>
      </c>
      <c r="H240" s="2">
        <v>925454</v>
      </c>
      <c r="I240">
        <v>0</v>
      </c>
      <c r="J240">
        <v>0</v>
      </c>
      <c r="K240">
        <v>0</v>
      </c>
      <c r="L240" s="1">
        <v>0</v>
      </c>
      <c r="M240" s="1">
        <v>0</v>
      </c>
      <c r="N240" s="4">
        <f t="shared" si="19"/>
        <v>9.9916666666666678E-3</v>
      </c>
      <c r="O240" s="5">
        <f t="shared" si="20"/>
        <v>0.78974133333333352</v>
      </c>
      <c r="P240">
        <f t="shared" si="21"/>
        <v>102</v>
      </c>
      <c r="Q240" s="6">
        <f t="shared" si="22"/>
        <v>8062.0800000000008</v>
      </c>
      <c r="R240" s="6">
        <f t="shared" si="23"/>
        <v>80.553616000000019</v>
      </c>
      <c r="S240" t="str">
        <f t="shared" si="24"/>
        <v>Alerta</v>
      </c>
    </row>
    <row r="241" spans="1:19" x14ac:dyDescent="0.3">
      <c r="A241" t="s">
        <v>264</v>
      </c>
      <c r="B241" t="s">
        <v>25</v>
      </c>
      <c r="C241" s="5">
        <f>VLOOKUP(A241,Dim!A:B,2,0)</f>
        <v>100.01</v>
      </c>
      <c r="D241" s="1">
        <v>7.6200000000000004E-2</v>
      </c>
      <c r="E241" s="1">
        <v>7.8100000000000003E-2</v>
      </c>
      <c r="F241">
        <v>0.88</v>
      </c>
      <c r="G241" s="2">
        <v>348236000</v>
      </c>
      <c r="H241" s="2">
        <v>7031</v>
      </c>
      <c r="I241">
        <v>16</v>
      </c>
      <c r="J241" s="3">
        <v>3403.34</v>
      </c>
      <c r="K241">
        <v>321.70999999999998</v>
      </c>
      <c r="L241" s="1">
        <v>9.4500000000000001E-2</v>
      </c>
      <c r="M241" s="1">
        <v>1.24E-2</v>
      </c>
      <c r="N241" s="4">
        <f t="shared" si="19"/>
        <v>6.5083333333333339E-3</v>
      </c>
      <c r="O241" s="5">
        <f t="shared" si="20"/>
        <v>0.6508984166666667</v>
      </c>
      <c r="P241">
        <f t="shared" si="21"/>
        <v>155</v>
      </c>
      <c r="Q241" s="6">
        <f t="shared" si="22"/>
        <v>15501.550000000001</v>
      </c>
      <c r="R241" s="6">
        <f t="shared" si="23"/>
        <v>100.88925458333334</v>
      </c>
      <c r="S241" t="str">
        <f t="shared" si="24"/>
        <v>Alerta</v>
      </c>
    </row>
    <row r="242" spans="1:19" x14ac:dyDescent="0.3">
      <c r="A242" t="s">
        <v>265</v>
      </c>
      <c r="B242" t="s">
        <v>23</v>
      </c>
      <c r="C242" s="5">
        <f>VLOOKUP(A242,Dim!A:B,2,0)</f>
        <v>82.01</v>
      </c>
      <c r="D242" s="1">
        <v>9.0200000000000002E-2</v>
      </c>
      <c r="E242" s="1">
        <v>0</v>
      </c>
      <c r="F242">
        <v>1.04</v>
      </c>
      <c r="G242" s="2">
        <v>104897000</v>
      </c>
      <c r="H242">
        <v>0</v>
      </c>
      <c r="I242">
        <v>0</v>
      </c>
      <c r="J242">
        <v>0</v>
      </c>
      <c r="K242">
        <v>0</v>
      </c>
      <c r="L242" s="1">
        <v>0</v>
      </c>
      <c r="M242" s="1">
        <v>0</v>
      </c>
      <c r="N242" s="4">
        <f t="shared" si="19"/>
        <v>0</v>
      </c>
      <c r="O242" s="5">
        <f t="shared" si="20"/>
        <v>0</v>
      </c>
      <c r="P242" t="e">
        <f t="shared" si="21"/>
        <v>#DIV/0!</v>
      </c>
      <c r="Q242" s="6" t="e">
        <f t="shared" si="22"/>
        <v>#DIV/0!</v>
      </c>
      <c r="R242" s="6" t="e">
        <f t="shared" si="23"/>
        <v>#DIV/0!</v>
      </c>
      <c r="S242" t="str">
        <f t="shared" si="24"/>
        <v>Bom</v>
      </c>
    </row>
    <row r="243" spans="1:19" x14ac:dyDescent="0.3">
      <c r="A243" t="s">
        <v>266</v>
      </c>
      <c r="B243" t="s">
        <v>16</v>
      </c>
      <c r="C243" s="5">
        <f>VLOOKUP(A243,Dim!A:B,2,0)</f>
        <v>170</v>
      </c>
      <c r="D243" s="1">
        <v>2.8299999999999999E-2</v>
      </c>
      <c r="E243" s="1">
        <v>2.7E-2</v>
      </c>
      <c r="F243">
        <v>0.95</v>
      </c>
      <c r="G243" s="2">
        <v>300331000</v>
      </c>
      <c r="H243" s="2">
        <v>520816</v>
      </c>
      <c r="I243">
        <v>0</v>
      </c>
      <c r="J243">
        <v>0</v>
      </c>
      <c r="K243">
        <v>0</v>
      </c>
      <c r="L243" s="1">
        <v>0</v>
      </c>
      <c r="M243" s="1">
        <v>0</v>
      </c>
      <c r="N243" s="4">
        <f t="shared" si="19"/>
        <v>2.2499999999999998E-3</v>
      </c>
      <c r="O243" s="5">
        <f t="shared" si="20"/>
        <v>0.38249999999999995</v>
      </c>
      <c r="P243">
        <f t="shared" si="21"/>
        <v>446</v>
      </c>
      <c r="Q243" s="6">
        <f t="shared" si="22"/>
        <v>75820</v>
      </c>
      <c r="R243" s="6">
        <f t="shared" si="23"/>
        <v>170.59499999999997</v>
      </c>
      <c r="S243" t="str">
        <f t="shared" si="24"/>
        <v>Bom</v>
      </c>
    </row>
    <row r="244" spans="1:19" x14ac:dyDescent="0.3">
      <c r="A244" t="s">
        <v>267</v>
      </c>
      <c r="B244" t="s">
        <v>16</v>
      </c>
      <c r="C244" s="5">
        <f>VLOOKUP(A244,Dim!A:B,2,0)</f>
        <v>148.9</v>
      </c>
      <c r="D244" s="1">
        <v>4.7300000000000002E-2</v>
      </c>
      <c r="E244" s="1">
        <v>5.0299999999999997E-2</v>
      </c>
      <c r="F244">
        <v>0.95</v>
      </c>
      <c r="G244" s="2">
        <v>197658000</v>
      </c>
      <c r="H244" s="2">
        <v>6012730</v>
      </c>
      <c r="I244">
        <v>0</v>
      </c>
      <c r="J244">
        <v>0</v>
      </c>
      <c r="K244">
        <v>0</v>
      </c>
      <c r="L244" s="1">
        <v>0</v>
      </c>
      <c r="M244" s="1">
        <v>0</v>
      </c>
      <c r="N244" s="4">
        <f t="shared" si="19"/>
        <v>4.1916666666666665E-3</v>
      </c>
      <c r="O244" s="5">
        <f t="shared" si="20"/>
        <v>0.62413916666666669</v>
      </c>
      <c r="P244">
        <f t="shared" si="21"/>
        <v>240</v>
      </c>
      <c r="Q244" s="6">
        <f t="shared" si="22"/>
        <v>35736</v>
      </c>
      <c r="R244" s="6">
        <f t="shared" si="23"/>
        <v>149.79340000000002</v>
      </c>
      <c r="S244" t="str">
        <f t="shared" si="24"/>
        <v>Alerta</v>
      </c>
    </row>
    <row r="245" spans="1:19" x14ac:dyDescent="0.3">
      <c r="A245" t="s">
        <v>268</v>
      </c>
      <c r="B245" t="s">
        <v>19</v>
      </c>
      <c r="C245" s="5">
        <f>VLOOKUP(A245,Dim!A:B,2,0)</f>
        <v>69.069999999999993</v>
      </c>
      <c r="D245" s="1">
        <v>0.1193</v>
      </c>
      <c r="E245" s="1">
        <v>8.6400000000000005E-2</v>
      </c>
      <c r="F245">
        <v>0.65</v>
      </c>
      <c r="G245" s="2">
        <v>104292000</v>
      </c>
      <c r="H245" s="2">
        <v>42112</v>
      </c>
      <c r="I245">
        <v>233</v>
      </c>
      <c r="J245" s="3">
        <v>7143.03</v>
      </c>
      <c r="K245" s="3">
        <v>1034.4100000000001</v>
      </c>
      <c r="L245" s="1">
        <v>0.14480000000000001</v>
      </c>
      <c r="M245" s="1">
        <v>0</v>
      </c>
      <c r="N245" s="4">
        <f t="shared" si="19"/>
        <v>7.2000000000000007E-3</v>
      </c>
      <c r="O245" s="5">
        <f t="shared" si="20"/>
        <v>0.49730400000000002</v>
      </c>
      <c r="P245">
        <f t="shared" si="21"/>
        <v>140</v>
      </c>
      <c r="Q245" s="6">
        <f t="shared" si="22"/>
        <v>9669.7999999999993</v>
      </c>
      <c r="R245" s="6">
        <f t="shared" si="23"/>
        <v>69.622560000000007</v>
      </c>
      <c r="S245" t="str">
        <f t="shared" si="24"/>
        <v>Bom</v>
      </c>
    </row>
    <row r="246" spans="1:19" x14ac:dyDescent="0.3">
      <c r="A246" t="s">
        <v>269</v>
      </c>
      <c r="B246" t="s">
        <v>14</v>
      </c>
      <c r="C246" s="5">
        <f>VLOOKUP(A246,Dim!A:B,2,0)</f>
        <v>68</v>
      </c>
      <c r="D246" s="1">
        <v>0.19500000000000001</v>
      </c>
      <c r="E246" s="1">
        <v>0.1176</v>
      </c>
      <c r="F246">
        <v>0.66</v>
      </c>
      <c r="G246" s="2">
        <v>135969000</v>
      </c>
      <c r="H246" s="2">
        <v>444650</v>
      </c>
      <c r="I246">
        <v>0</v>
      </c>
      <c r="J246">
        <v>0</v>
      </c>
      <c r="K246">
        <v>0</v>
      </c>
      <c r="L246" s="1">
        <v>0</v>
      </c>
      <c r="M246" s="1">
        <v>0</v>
      </c>
      <c r="N246" s="4">
        <f t="shared" si="19"/>
        <v>9.7999999999999997E-3</v>
      </c>
      <c r="O246" s="5">
        <f t="shared" si="20"/>
        <v>0.66639999999999999</v>
      </c>
      <c r="P246">
        <f t="shared" si="21"/>
        <v>104</v>
      </c>
      <c r="Q246" s="6">
        <f t="shared" si="22"/>
        <v>7072</v>
      </c>
      <c r="R246" s="6">
        <f t="shared" si="23"/>
        <v>69.305599999999998</v>
      </c>
      <c r="S246" t="str">
        <f t="shared" si="24"/>
        <v>Bom</v>
      </c>
    </row>
    <row r="247" spans="1:19" x14ac:dyDescent="0.3">
      <c r="A247" t="s">
        <v>270</v>
      </c>
      <c r="B247" t="s">
        <v>19</v>
      </c>
      <c r="C247" s="5">
        <f>VLOOKUP(A247,Dim!A:B,2,0)</f>
        <v>78.8</v>
      </c>
      <c r="D247" s="1">
        <v>0.16550000000000001</v>
      </c>
      <c r="E247" s="1">
        <v>0.16520000000000001</v>
      </c>
      <c r="F247">
        <v>0.79</v>
      </c>
      <c r="G247" s="2">
        <v>70687700</v>
      </c>
      <c r="H247" s="2">
        <v>88678</v>
      </c>
      <c r="I247">
        <v>0</v>
      </c>
      <c r="J247">
        <v>0</v>
      </c>
      <c r="K247">
        <v>0</v>
      </c>
      <c r="L247" s="1">
        <v>0</v>
      </c>
      <c r="M247" s="1">
        <v>0</v>
      </c>
      <c r="N247" s="4">
        <f t="shared" si="19"/>
        <v>1.3766666666666668E-2</v>
      </c>
      <c r="O247" s="5">
        <f t="shared" si="20"/>
        <v>1.0848133333333334</v>
      </c>
      <c r="P247">
        <f t="shared" si="21"/>
        <v>74</v>
      </c>
      <c r="Q247" s="6">
        <f t="shared" si="22"/>
        <v>5831.2</v>
      </c>
      <c r="R247" s="6">
        <f t="shared" si="23"/>
        <v>80.276186666666675</v>
      </c>
      <c r="S247" t="str">
        <f t="shared" si="24"/>
        <v>Bom</v>
      </c>
    </row>
    <row r="248" spans="1:19" x14ac:dyDescent="0.3">
      <c r="A248" t="s">
        <v>271</v>
      </c>
      <c r="B248" t="s">
        <v>19</v>
      </c>
      <c r="C248" s="5">
        <f>VLOOKUP(A248,Dim!A:B,2,0)</f>
        <v>141.1</v>
      </c>
      <c r="D248" s="1">
        <v>-2.52E-2</v>
      </c>
      <c r="E248" s="1">
        <v>0.1981</v>
      </c>
      <c r="F248">
        <v>2.31</v>
      </c>
      <c r="G248" s="2">
        <v>7760500</v>
      </c>
      <c r="H248" s="2">
        <v>18146</v>
      </c>
      <c r="I248">
        <v>0</v>
      </c>
      <c r="J248">
        <v>0</v>
      </c>
      <c r="K248">
        <v>0</v>
      </c>
      <c r="L248" s="1">
        <v>0</v>
      </c>
      <c r="M248" s="1">
        <v>0</v>
      </c>
      <c r="N248" s="4">
        <f t="shared" si="19"/>
        <v>1.6508333333333333E-2</v>
      </c>
      <c r="O248" s="5">
        <f t="shared" si="20"/>
        <v>2.3293258333333333</v>
      </c>
      <c r="P248">
        <f t="shared" si="21"/>
        <v>62</v>
      </c>
      <c r="Q248" s="6">
        <f t="shared" si="22"/>
        <v>8748.1999999999989</v>
      </c>
      <c r="R248" s="6">
        <f t="shared" si="23"/>
        <v>144.41820166666668</v>
      </c>
      <c r="S248" t="str">
        <f t="shared" si="24"/>
        <v>Alerta</v>
      </c>
    </row>
    <row r="249" spans="1:19" x14ac:dyDescent="0.3">
      <c r="A249" t="s">
        <v>487</v>
      </c>
      <c r="B249" t="s">
        <v>19</v>
      </c>
      <c r="C249" s="5">
        <f>VLOOKUP(A249,Dim!A:B,2,0)</f>
        <v>3.05</v>
      </c>
      <c r="D249" s="1">
        <v>6.0000000000000001E-3</v>
      </c>
      <c r="E249" s="1">
        <v>4.5499999999999999E-2</v>
      </c>
      <c r="F249">
        <v>0.53</v>
      </c>
      <c r="G249" s="2">
        <v>108659000</v>
      </c>
      <c r="H249" s="2">
        <v>20054</v>
      </c>
      <c r="I249">
        <v>0</v>
      </c>
      <c r="J249">
        <v>0</v>
      </c>
      <c r="K249">
        <v>0</v>
      </c>
      <c r="L249" s="1">
        <v>0</v>
      </c>
      <c r="M249" s="1">
        <v>0</v>
      </c>
      <c r="N249" s="4">
        <f t="shared" si="19"/>
        <v>3.7916666666666667E-3</v>
      </c>
      <c r="O249" s="5">
        <f t="shared" si="20"/>
        <v>1.1564583333333333E-2</v>
      </c>
      <c r="P249">
        <f t="shared" si="21"/>
        <v>265</v>
      </c>
      <c r="Q249" s="6">
        <f t="shared" si="22"/>
        <v>808.25</v>
      </c>
      <c r="R249" s="6">
        <f t="shared" si="23"/>
        <v>3.0646145833333334</v>
      </c>
      <c r="S249" t="str">
        <f t="shared" si="24"/>
        <v>Alerta</v>
      </c>
    </row>
    <row r="250" spans="1:19" x14ac:dyDescent="0.3">
      <c r="A250" t="s">
        <v>451</v>
      </c>
      <c r="B250" t="s">
        <v>16</v>
      </c>
      <c r="C250" s="5">
        <f>VLOOKUP(A250,Dim!A:B,2,0)</f>
        <v>2.7</v>
      </c>
      <c r="D250" s="1">
        <v>4.1000000000000003E-3</v>
      </c>
      <c r="E250" s="1">
        <v>0</v>
      </c>
      <c r="F250">
        <v>0.24</v>
      </c>
      <c r="G250" s="2">
        <v>10962000</v>
      </c>
      <c r="H250" s="2">
        <v>1236</v>
      </c>
      <c r="I250">
        <v>1</v>
      </c>
      <c r="J250" s="3">
        <v>2290.84</v>
      </c>
      <c r="K250">
        <v>710.94</v>
      </c>
      <c r="L250" s="1">
        <v>0.31030000000000002</v>
      </c>
      <c r="M250" s="1">
        <v>0.28399999999999997</v>
      </c>
      <c r="N250" s="4">
        <f t="shared" si="19"/>
        <v>0</v>
      </c>
      <c r="O250" s="5">
        <f t="shared" si="20"/>
        <v>0</v>
      </c>
      <c r="P250" t="e">
        <f t="shared" si="21"/>
        <v>#DIV/0!</v>
      </c>
      <c r="Q250" s="6" t="e">
        <f t="shared" si="22"/>
        <v>#DIV/0!</v>
      </c>
      <c r="R250" s="6" t="e">
        <f t="shared" si="23"/>
        <v>#DIV/0!</v>
      </c>
      <c r="S250" t="str">
        <f t="shared" si="24"/>
        <v>Bom</v>
      </c>
    </row>
    <row r="251" spans="1:19" x14ac:dyDescent="0.3">
      <c r="A251" t="s">
        <v>526</v>
      </c>
      <c r="B251" t="s">
        <v>19</v>
      </c>
      <c r="C251" s="5">
        <f>VLOOKUP(A251,Dim!A:B,2,0)</f>
        <v>2.4900000000000002</v>
      </c>
      <c r="D251" s="1">
        <v>0.10589999999999999</v>
      </c>
      <c r="E251" s="1">
        <v>0.15129999999999999</v>
      </c>
      <c r="F251">
        <v>0.25</v>
      </c>
      <c r="G251" s="2">
        <v>75854800</v>
      </c>
      <c r="H251" s="2">
        <v>109438</v>
      </c>
      <c r="I251">
        <v>0</v>
      </c>
      <c r="J251">
        <v>0</v>
      </c>
      <c r="K251">
        <v>0</v>
      </c>
      <c r="L251" s="1">
        <v>0</v>
      </c>
      <c r="M251" s="1">
        <v>0</v>
      </c>
      <c r="N251" s="4">
        <f t="shared" si="19"/>
        <v>1.2608333333333333E-2</v>
      </c>
      <c r="O251" s="5">
        <f t="shared" si="20"/>
        <v>3.1394749999999999E-2</v>
      </c>
      <c r="P251">
        <f t="shared" si="21"/>
        <v>81</v>
      </c>
      <c r="Q251" s="6">
        <f t="shared" si="22"/>
        <v>201.69000000000003</v>
      </c>
      <c r="R251" s="6">
        <f t="shared" si="23"/>
        <v>2.54297475</v>
      </c>
      <c r="S251" t="str">
        <f t="shared" si="24"/>
        <v>Alerta</v>
      </c>
    </row>
    <row r="252" spans="1:19" x14ac:dyDescent="0.3">
      <c r="A252" t="s">
        <v>275</v>
      </c>
      <c r="B252" t="s">
        <v>19</v>
      </c>
      <c r="C252" s="5">
        <f>VLOOKUP(A252,Dim!A:B,2,0)</f>
        <v>62.86</v>
      </c>
      <c r="D252" s="1">
        <v>9.8199999999999996E-2</v>
      </c>
      <c r="E252" s="1">
        <v>9.1899999999999996E-2</v>
      </c>
      <c r="F252">
        <v>0.61</v>
      </c>
      <c r="G252" s="2">
        <v>1290690000</v>
      </c>
      <c r="H252" s="2">
        <v>2277730</v>
      </c>
      <c r="I252">
        <v>6</v>
      </c>
      <c r="J252" s="3">
        <v>11032.3</v>
      </c>
      <c r="K252" s="3">
        <v>1138.0899999999999</v>
      </c>
      <c r="L252" s="1">
        <v>0.1032</v>
      </c>
      <c r="M252" s="1">
        <v>2.6499999999999999E-2</v>
      </c>
      <c r="N252" s="4">
        <f t="shared" si="19"/>
        <v>7.658333333333333E-3</v>
      </c>
      <c r="O252" s="5">
        <f t="shared" si="20"/>
        <v>0.48140283333333328</v>
      </c>
      <c r="P252">
        <f t="shared" si="21"/>
        <v>132</v>
      </c>
      <c r="Q252" s="6">
        <f t="shared" si="22"/>
        <v>8297.52</v>
      </c>
      <c r="R252" s="6">
        <f t="shared" si="23"/>
        <v>63.545173999999996</v>
      </c>
      <c r="S252" t="str">
        <f t="shared" si="24"/>
        <v>Bom</v>
      </c>
    </row>
    <row r="253" spans="1:19" x14ac:dyDescent="0.3">
      <c r="A253" t="s">
        <v>536</v>
      </c>
      <c r="B253" t="s">
        <v>14</v>
      </c>
      <c r="C253" s="5">
        <f>VLOOKUP(A253,Dim!A:B,2,0)</f>
        <v>2.1</v>
      </c>
      <c r="D253" s="1">
        <v>0.3795</v>
      </c>
      <c r="E253" s="1">
        <v>7.4300000000000005E-2</v>
      </c>
      <c r="F253">
        <v>0.43</v>
      </c>
      <c r="G253" s="2">
        <v>6141280</v>
      </c>
      <c r="H253" s="2">
        <v>18283</v>
      </c>
      <c r="I253">
        <v>0</v>
      </c>
      <c r="J253">
        <v>0</v>
      </c>
      <c r="K253">
        <v>0</v>
      </c>
      <c r="L253" s="1">
        <v>0</v>
      </c>
      <c r="M253" s="1">
        <v>0</v>
      </c>
      <c r="N253" s="4">
        <f t="shared" si="19"/>
        <v>6.1916666666666674E-3</v>
      </c>
      <c r="O253" s="5">
        <f t="shared" si="20"/>
        <v>1.3002500000000002E-2</v>
      </c>
      <c r="P253">
        <f t="shared" si="21"/>
        <v>163</v>
      </c>
      <c r="Q253" s="6">
        <f t="shared" si="22"/>
        <v>342.3</v>
      </c>
      <c r="R253" s="6">
        <f t="shared" si="23"/>
        <v>2.1194075000000003</v>
      </c>
      <c r="S253" t="str">
        <f t="shared" si="24"/>
        <v>Bom</v>
      </c>
    </row>
    <row r="254" spans="1:19" x14ac:dyDescent="0.3">
      <c r="A254" t="s">
        <v>277</v>
      </c>
      <c r="B254" t="s">
        <v>19</v>
      </c>
      <c r="C254" s="5">
        <f>VLOOKUP(A254,Dim!A:B,2,0)</f>
        <v>93</v>
      </c>
      <c r="D254" s="1">
        <v>-7.3000000000000001E-3</v>
      </c>
      <c r="E254" s="1">
        <v>5.6099999999999997E-2</v>
      </c>
      <c r="F254">
        <v>0.95</v>
      </c>
      <c r="G254" s="2">
        <v>62401300</v>
      </c>
      <c r="H254" s="2">
        <v>85468</v>
      </c>
      <c r="I254">
        <v>0</v>
      </c>
      <c r="J254">
        <v>0</v>
      </c>
      <c r="K254">
        <v>0</v>
      </c>
      <c r="L254" s="1">
        <v>0</v>
      </c>
      <c r="M254" s="1">
        <v>0</v>
      </c>
      <c r="N254" s="4">
        <f t="shared" si="19"/>
        <v>4.6749999999999995E-3</v>
      </c>
      <c r="O254" s="5">
        <f t="shared" si="20"/>
        <v>0.43477499999999997</v>
      </c>
      <c r="P254">
        <f t="shared" si="21"/>
        <v>215</v>
      </c>
      <c r="Q254" s="6">
        <f t="shared" si="22"/>
        <v>19995</v>
      </c>
      <c r="R254" s="6">
        <f t="shared" si="23"/>
        <v>93.476624999999999</v>
      </c>
      <c r="S254" t="str">
        <f t="shared" si="24"/>
        <v>Alerta</v>
      </c>
    </row>
    <row r="255" spans="1:19" x14ac:dyDescent="0.3">
      <c r="A255" t="s">
        <v>278</v>
      </c>
      <c r="B255" t="s">
        <v>37</v>
      </c>
      <c r="C255" s="5">
        <f>VLOOKUP(A255,Dim!A:B,2,0)</f>
        <v>846.01</v>
      </c>
      <c r="D255" s="1">
        <v>0.1399</v>
      </c>
      <c r="E255" s="1">
        <v>0.23730000000000001</v>
      </c>
      <c r="F255">
        <v>1.45</v>
      </c>
      <c r="G255" s="2">
        <v>125694000</v>
      </c>
      <c r="H255" s="2">
        <v>6590</v>
      </c>
      <c r="I255">
        <v>1</v>
      </c>
      <c r="J255">
        <v>0</v>
      </c>
      <c r="K255">
        <v>0</v>
      </c>
      <c r="L255" s="1">
        <v>0</v>
      </c>
      <c r="M255" s="1">
        <v>0</v>
      </c>
      <c r="N255" s="4">
        <f t="shared" si="19"/>
        <v>1.9775000000000001E-2</v>
      </c>
      <c r="O255" s="5">
        <f t="shared" si="20"/>
        <v>16.729847750000001</v>
      </c>
      <c r="P255">
        <f t="shared" si="21"/>
        <v>52</v>
      </c>
      <c r="Q255" s="6">
        <f t="shared" si="22"/>
        <v>43992.52</v>
      </c>
      <c r="R255" s="6">
        <f t="shared" si="23"/>
        <v>869.95208300000002</v>
      </c>
      <c r="S255" t="str">
        <f t="shared" si="24"/>
        <v>Alerta</v>
      </c>
    </row>
    <row r="256" spans="1:19" x14ac:dyDescent="0.3">
      <c r="A256" t="s">
        <v>279</v>
      </c>
      <c r="B256" t="s">
        <v>19</v>
      </c>
      <c r="C256" s="5">
        <f>VLOOKUP(A256,Dim!A:B,2,0)</f>
        <v>1100</v>
      </c>
      <c r="D256" s="1">
        <v>4.9000000000000002E-2</v>
      </c>
      <c r="E256" s="1">
        <v>8.5900000000000004E-2</v>
      </c>
      <c r="F256">
        <v>1.18</v>
      </c>
      <c r="G256" s="2">
        <v>196516000</v>
      </c>
      <c r="H256">
        <v>0</v>
      </c>
      <c r="I256">
        <v>0</v>
      </c>
      <c r="J256">
        <v>0</v>
      </c>
      <c r="K256">
        <v>0</v>
      </c>
      <c r="L256" s="1">
        <v>0</v>
      </c>
      <c r="M256" s="1">
        <v>0</v>
      </c>
      <c r="N256" s="4">
        <f t="shared" si="19"/>
        <v>7.1583333333333334E-3</v>
      </c>
      <c r="O256" s="5">
        <f t="shared" si="20"/>
        <v>7.8741666666666665</v>
      </c>
      <c r="P256">
        <f t="shared" si="21"/>
        <v>141</v>
      </c>
      <c r="Q256" s="6">
        <f t="shared" si="22"/>
        <v>155100</v>
      </c>
      <c r="R256" s="6">
        <f t="shared" si="23"/>
        <v>1110.2574999999999</v>
      </c>
      <c r="S256" t="str">
        <f t="shared" si="24"/>
        <v>Alerta</v>
      </c>
    </row>
    <row r="257" spans="1:19" x14ac:dyDescent="0.3">
      <c r="A257" t="s">
        <v>280</v>
      </c>
      <c r="B257" t="s">
        <v>19</v>
      </c>
      <c r="C257" s="5">
        <f>VLOOKUP(A257,Dim!A:B,2,0)</f>
        <v>82.24</v>
      </c>
      <c r="D257" s="1">
        <v>0.1212</v>
      </c>
      <c r="E257" s="1">
        <v>0.1135</v>
      </c>
      <c r="F257">
        <v>0.88</v>
      </c>
      <c r="G257" s="2">
        <v>556606000</v>
      </c>
      <c r="H257" s="2">
        <v>992842</v>
      </c>
      <c r="I257">
        <v>0</v>
      </c>
      <c r="J257">
        <v>0</v>
      </c>
      <c r="K257">
        <v>0</v>
      </c>
      <c r="L257" s="1">
        <v>0</v>
      </c>
      <c r="M257" s="1">
        <v>0</v>
      </c>
      <c r="N257" s="4">
        <f t="shared" si="19"/>
        <v>9.4583333333333342E-3</v>
      </c>
      <c r="O257" s="5">
        <f t="shared" si="20"/>
        <v>0.7778533333333334</v>
      </c>
      <c r="P257">
        <f t="shared" si="21"/>
        <v>107</v>
      </c>
      <c r="Q257" s="6">
        <f t="shared" si="22"/>
        <v>8799.68</v>
      </c>
      <c r="R257" s="6">
        <f t="shared" si="23"/>
        <v>83.230306666666678</v>
      </c>
      <c r="S257" t="str">
        <f t="shared" si="24"/>
        <v>Bom</v>
      </c>
    </row>
    <row r="258" spans="1:19" x14ac:dyDescent="0.3">
      <c r="A258" t="s">
        <v>391</v>
      </c>
      <c r="B258" t="s">
        <v>37</v>
      </c>
      <c r="C258" s="5">
        <f>VLOOKUP(A258,Dim!A:B,2,0)</f>
        <v>1.85</v>
      </c>
      <c r="D258" s="1">
        <v>-0.90180000000000005</v>
      </c>
      <c r="E258" s="1">
        <v>0</v>
      </c>
      <c r="F258">
        <v>0.09</v>
      </c>
      <c r="G258" s="2">
        <v>215089</v>
      </c>
      <c r="H258">
        <v>79</v>
      </c>
      <c r="I258">
        <v>0</v>
      </c>
      <c r="J258">
        <v>0</v>
      </c>
      <c r="K258">
        <v>0</v>
      </c>
      <c r="L258" s="1">
        <v>0</v>
      </c>
      <c r="M258" s="1">
        <v>0</v>
      </c>
      <c r="N258" s="4">
        <f t="shared" ref="N258:N321" si="25">E258/12</f>
        <v>0</v>
      </c>
      <c r="O258" s="5">
        <f t="shared" ref="O258:O321" si="26">N258*C258</f>
        <v>0</v>
      </c>
      <c r="P258" t="e">
        <f t="shared" ref="P258:P321" si="27">ROUNDUP((C258/O258),0)+1</f>
        <v>#DIV/0!</v>
      </c>
      <c r="Q258" s="6" t="e">
        <f t="shared" ref="Q258:Q321" si="28">P258*C258</f>
        <v>#DIV/0!</v>
      </c>
      <c r="R258" s="6" t="e">
        <f t="shared" ref="R258:R321" si="29">P258*O258</f>
        <v>#DIV/0!</v>
      </c>
      <c r="S258" t="str">
        <f t="shared" si="24"/>
        <v>Alerta</v>
      </c>
    </row>
    <row r="259" spans="1:19" x14ac:dyDescent="0.3">
      <c r="A259" t="s">
        <v>469</v>
      </c>
      <c r="B259" t="s">
        <v>47</v>
      </c>
      <c r="C259" s="5">
        <f>VLOOKUP(A259,Dim!A:B,2,0)</f>
        <v>1.23</v>
      </c>
      <c r="D259" s="1">
        <v>1.6149</v>
      </c>
      <c r="E259" s="1">
        <v>6.1000000000000004E-3</v>
      </c>
      <c r="F259">
        <v>3.43</v>
      </c>
      <c r="G259" s="2">
        <v>4073250</v>
      </c>
      <c r="H259" s="2">
        <v>206542</v>
      </c>
      <c r="I259">
        <v>0</v>
      </c>
      <c r="J259">
        <v>0</v>
      </c>
      <c r="K259">
        <v>0</v>
      </c>
      <c r="L259" s="1">
        <v>0</v>
      </c>
      <c r="M259" s="1">
        <v>0</v>
      </c>
      <c r="N259" s="4">
        <f t="shared" si="25"/>
        <v>5.083333333333334E-4</v>
      </c>
      <c r="O259" s="5">
        <f t="shared" si="26"/>
        <v>6.2525000000000005E-4</v>
      </c>
      <c r="P259">
        <f t="shared" si="27"/>
        <v>1969</v>
      </c>
      <c r="Q259" s="6">
        <f t="shared" si="28"/>
        <v>2421.87</v>
      </c>
      <c r="R259" s="6">
        <f t="shared" si="29"/>
        <v>1.2311172500000001</v>
      </c>
      <c r="S259" t="str">
        <f t="shared" si="24"/>
        <v>Bom</v>
      </c>
    </row>
    <row r="260" spans="1:19" x14ac:dyDescent="0.3">
      <c r="A260" t="s">
        <v>283</v>
      </c>
      <c r="B260" t="s">
        <v>14</v>
      </c>
      <c r="C260" s="5">
        <f>VLOOKUP(A260,Dim!A:B,2,0)</f>
        <v>62.67</v>
      </c>
      <c r="D260" s="1">
        <v>0.19350000000000001</v>
      </c>
      <c r="E260" s="1">
        <v>0.18440000000000001</v>
      </c>
      <c r="F260">
        <v>0.71</v>
      </c>
      <c r="G260" s="2">
        <v>135365000</v>
      </c>
      <c r="H260" s="2">
        <v>433245</v>
      </c>
      <c r="I260">
        <v>0</v>
      </c>
      <c r="J260">
        <v>0</v>
      </c>
      <c r="K260">
        <v>0</v>
      </c>
      <c r="L260" s="1">
        <v>0</v>
      </c>
      <c r="M260" s="1">
        <v>0</v>
      </c>
      <c r="N260" s="4">
        <f t="shared" si="25"/>
        <v>1.5366666666666667E-2</v>
      </c>
      <c r="O260" s="5">
        <f t="shared" si="26"/>
        <v>0.96302900000000002</v>
      </c>
      <c r="P260">
        <f t="shared" si="27"/>
        <v>67</v>
      </c>
      <c r="Q260" s="6">
        <f t="shared" si="28"/>
        <v>4198.8900000000003</v>
      </c>
      <c r="R260" s="6">
        <f t="shared" si="29"/>
        <v>64.522942999999998</v>
      </c>
      <c r="S260" t="str">
        <f t="shared" si="24"/>
        <v>Bom</v>
      </c>
    </row>
    <row r="261" spans="1:19" x14ac:dyDescent="0.3">
      <c r="A261" t="s">
        <v>284</v>
      </c>
      <c r="B261" t="s">
        <v>23</v>
      </c>
      <c r="C261" s="5">
        <f>VLOOKUP(A261,Dim!A:B,2,0)</f>
        <v>95.5</v>
      </c>
      <c r="D261" s="1">
        <v>0.1167</v>
      </c>
      <c r="E261" s="1">
        <v>9.7600000000000006E-2</v>
      </c>
      <c r="F261">
        <v>0.92</v>
      </c>
      <c r="G261" s="2">
        <v>2047670000</v>
      </c>
      <c r="H261" s="2">
        <v>2818080</v>
      </c>
      <c r="I261">
        <v>0</v>
      </c>
      <c r="J261">
        <v>0</v>
      </c>
      <c r="K261">
        <v>0</v>
      </c>
      <c r="L261" s="1">
        <v>0</v>
      </c>
      <c r="M261" s="1">
        <v>0</v>
      </c>
      <c r="N261" s="4">
        <f t="shared" si="25"/>
        <v>8.1333333333333344E-3</v>
      </c>
      <c r="O261" s="5">
        <f t="shared" si="26"/>
        <v>0.77673333333333339</v>
      </c>
      <c r="P261">
        <f t="shared" si="27"/>
        <v>124</v>
      </c>
      <c r="Q261" s="6">
        <f t="shared" si="28"/>
        <v>11842</v>
      </c>
      <c r="R261" s="6">
        <f t="shared" si="29"/>
        <v>96.314933333333343</v>
      </c>
      <c r="S261" t="str">
        <f t="shared" ref="S261:S324" si="30">IF(D261&gt;E261,"Bom",IF(D261=E261,"netro","Alerta"))</f>
        <v>Bom</v>
      </c>
    </row>
    <row r="262" spans="1:19" x14ac:dyDescent="0.3">
      <c r="A262" t="s">
        <v>285</v>
      </c>
      <c r="B262" t="s">
        <v>19</v>
      </c>
      <c r="C262" s="5">
        <f>VLOOKUP(A262,Dim!A:B,2,0)</f>
        <v>106.37</v>
      </c>
      <c r="D262" s="1">
        <v>0.10299999999999999</v>
      </c>
      <c r="E262" s="1">
        <v>0.12959999999999999</v>
      </c>
      <c r="F262">
        <v>1.03</v>
      </c>
      <c r="G262" s="2">
        <v>8006740000</v>
      </c>
      <c r="H262" s="2">
        <v>13411500</v>
      </c>
      <c r="I262">
        <v>0</v>
      </c>
      <c r="J262">
        <v>0</v>
      </c>
      <c r="K262">
        <v>0</v>
      </c>
      <c r="L262" s="1">
        <v>0</v>
      </c>
      <c r="M262" s="1">
        <v>0</v>
      </c>
      <c r="N262" s="4">
        <f t="shared" si="25"/>
        <v>1.0799999999999999E-2</v>
      </c>
      <c r="O262" s="5">
        <f t="shared" si="26"/>
        <v>1.1487959999999999</v>
      </c>
      <c r="P262">
        <f t="shared" si="27"/>
        <v>94</v>
      </c>
      <c r="Q262" s="6">
        <f t="shared" si="28"/>
        <v>9998.7800000000007</v>
      </c>
      <c r="R262" s="6">
        <f t="shared" si="29"/>
        <v>107.986824</v>
      </c>
      <c r="S262" t="str">
        <f t="shared" si="30"/>
        <v>Alerta</v>
      </c>
    </row>
    <row r="263" spans="1:19" x14ac:dyDescent="0.3">
      <c r="A263" t="s">
        <v>286</v>
      </c>
      <c r="B263" t="s">
        <v>19</v>
      </c>
      <c r="C263" s="5">
        <f>VLOOKUP(A263,Dim!A:B,2,0)</f>
        <v>93.37</v>
      </c>
      <c r="D263" s="1">
        <v>0.12909999999999999</v>
      </c>
      <c r="E263" s="1">
        <v>0.1211</v>
      </c>
      <c r="F263">
        <v>0.93</v>
      </c>
      <c r="G263" s="2">
        <v>1821800000</v>
      </c>
      <c r="H263" s="2">
        <v>3183390</v>
      </c>
      <c r="I263">
        <v>3</v>
      </c>
      <c r="J263" s="3">
        <v>22097.8</v>
      </c>
      <c r="K263" s="3">
        <v>1351.13</v>
      </c>
      <c r="L263" s="1">
        <v>6.1100000000000002E-2</v>
      </c>
      <c r="M263" s="1">
        <v>1.66E-2</v>
      </c>
      <c r="N263" s="4">
        <f t="shared" si="25"/>
        <v>1.0091666666666667E-2</v>
      </c>
      <c r="O263" s="5">
        <f t="shared" si="26"/>
        <v>0.94225891666666672</v>
      </c>
      <c r="P263">
        <f t="shared" si="27"/>
        <v>101</v>
      </c>
      <c r="Q263" s="6">
        <f t="shared" si="28"/>
        <v>9430.3700000000008</v>
      </c>
      <c r="R263" s="6">
        <f t="shared" si="29"/>
        <v>95.168150583333343</v>
      </c>
      <c r="S263" t="str">
        <f t="shared" si="30"/>
        <v>Bom</v>
      </c>
    </row>
    <row r="264" spans="1:19" x14ac:dyDescent="0.3">
      <c r="A264" t="s">
        <v>287</v>
      </c>
      <c r="B264" t="s">
        <v>19</v>
      </c>
      <c r="C264" s="5">
        <f>VLOOKUP(A264,Dim!A:B,2,0)</f>
        <v>99.72</v>
      </c>
      <c r="D264" s="1">
        <v>0.125</v>
      </c>
      <c r="E264" s="1">
        <v>0.11650000000000001</v>
      </c>
      <c r="F264">
        <v>1.02</v>
      </c>
      <c r="G264" s="2">
        <v>3088460000</v>
      </c>
      <c r="H264" s="2">
        <v>3483280</v>
      </c>
      <c r="I264">
        <v>0</v>
      </c>
      <c r="J264">
        <v>0</v>
      </c>
      <c r="K264">
        <v>0</v>
      </c>
      <c r="L264" s="1">
        <v>0</v>
      </c>
      <c r="M264" s="1">
        <v>0</v>
      </c>
      <c r="N264" s="4">
        <f t="shared" si="25"/>
        <v>9.7083333333333344E-3</v>
      </c>
      <c r="O264" s="5">
        <f t="shared" si="26"/>
        <v>0.96811500000000006</v>
      </c>
      <c r="P264">
        <f t="shared" si="27"/>
        <v>105</v>
      </c>
      <c r="Q264" s="6">
        <f t="shared" si="28"/>
        <v>10470.6</v>
      </c>
      <c r="R264" s="6">
        <f t="shared" si="29"/>
        <v>101.65207500000001</v>
      </c>
      <c r="S264" t="str">
        <f t="shared" si="30"/>
        <v>Bom</v>
      </c>
    </row>
    <row r="265" spans="1:19" x14ac:dyDescent="0.3">
      <c r="A265" t="s">
        <v>288</v>
      </c>
      <c r="B265" t="s">
        <v>19</v>
      </c>
      <c r="C265" s="5">
        <f>VLOOKUP(A265,Dim!A:B,2,0)</f>
        <v>88</v>
      </c>
      <c r="D265" s="1">
        <v>0.1336</v>
      </c>
      <c r="E265" s="1">
        <v>0.1212</v>
      </c>
      <c r="F265">
        <v>0.96</v>
      </c>
      <c r="G265" s="2">
        <v>7016450000</v>
      </c>
      <c r="H265" s="2">
        <v>8083020</v>
      </c>
      <c r="I265">
        <v>0</v>
      </c>
      <c r="J265">
        <v>0</v>
      </c>
      <c r="K265">
        <v>0</v>
      </c>
      <c r="L265" s="1">
        <v>0</v>
      </c>
      <c r="M265" s="1">
        <v>0</v>
      </c>
      <c r="N265" s="4">
        <f t="shared" si="25"/>
        <v>1.01E-2</v>
      </c>
      <c r="O265" s="5">
        <f t="shared" si="26"/>
        <v>0.88879999999999992</v>
      </c>
      <c r="P265">
        <f t="shared" si="27"/>
        <v>101</v>
      </c>
      <c r="Q265" s="6">
        <f t="shared" si="28"/>
        <v>8888</v>
      </c>
      <c r="R265" s="6">
        <f t="shared" si="29"/>
        <v>89.768799999999999</v>
      </c>
      <c r="S265" t="str">
        <f t="shared" si="30"/>
        <v>Bom</v>
      </c>
    </row>
    <row r="266" spans="1:19" x14ac:dyDescent="0.3">
      <c r="A266" t="s">
        <v>112</v>
      </c>
      <c r="B266" t="s">
        <v>28</v>
      </c>
      <c r="C266" s="5">
        <f>VLOOKUP(A266,Dim!A:B,2,0)</f>
        <v>1.6</v>
      </c>
      <c r="D266" s="1">
        <v>5.2499999999999998E-2</v>
      </c>
      <c r="E266" s="1">
        <v>5.4699999999999999E-2</v>
      </c>
      <c r="F266">
        <v>0.2</v>
      </c>
      <c r="G266" s="2">
        <v>51884900</v>
      </c>
      <c r="H266" s="2">
        <v>147788</v>
      </c>
      <c r="I266">
        <v>1</v>
      </c>
      <c r="J266">
        <v>160.88999999999999</v>
      </c>
      <c r="K266">
        <v>35.340000000000003</v>
      </c>
      <c r="L266" s="1">
        <v>0.21959999999999999</v>
      </c>
      <c r="M266" s="1">
        <v>0.59399999999999997</v>
      </c>
      <c r="N266" s="4">
        <f t="shared" si="25"/>
        <v>4.5583333333333335E-3</v>
      </c>
      <c r="O266" s="5">
        <f t="shared" si="26"/>
        <v>7.293333333333334E-3</v>
      </c>
      <c r="P266">
        <f t="shared" si="27"/>
        <v>221</v>
      </c>
      <c r="Q266" s="6">
        <f t="shared" si="28"/>
        <v>353.6</v>
      </c>
      <c r="R266" s="6">
        <f t="shared" si="29"/>
        <v>1.6118266666666667</v>
      </c>
      <c r="S266" t="str">
        <f t="shared" si="30"/>
        <v>Alerta</v>
      </c>
    </row>
    <row r="267" spans="1:19" x14ac:dyDescent="0.3">
      <c r="A267" t="s">
        <v>290</v>
      </c>
      <c r="B267" t="s">
        <v>19</v>
      </c>
      <c r="C267" s="5">
        <f>VLOOKUP(A267,Dim!A:B,2,0)</f>
        <v>148</v>
      </c>
      <c r="D267" s="1">
        <v>8.1500000000000003E-2</v>
      </c>
      <c r="E267" s="1">
        <v>8.1799999999999998E-2</v>
      </c>
      <c r="F267">
        <v>0.89</v>
      </c>
      <c r="G267" s="2">
        <v>4106510000</v>
      </c>
      <c r="H267" s="2">
        <v>5319790</v>
      </c>
      <c r="I267">
        <v>20</v>
      </c>
      <c r="J267" s="3">
        <v>5077.72</v>
      </c>
      <c r="K267">
        <v>393.79</v>
      </c>
      <c r="L267" s="1">
        <v>7.7600000000000002E-2</v>
      </c>
      <c r="M267" s="1">
        <v>1E-3</v>
      </c>
      <c r="N267" s="4">
        <f t="shared" si="25"/>
        <v>6.8166666666666662E-3</v>
      </c>
      <c r="O267" s="5">
        <f t="shared" si="26"/>
        <v>1.0088666666666666</v>
      </c>
      <c r="P267">
        <f t="shared" si="27"/>
        <v>148</v>
      </c>
      <c r="Q267" s="6">
        <f t="shared" si="28"/>
        <v>21904</v>
      </c>
      <c r="R267" s="6">
        <f t="shared" si="29"/>
        <v>149.31226666666666</v>
      </c>
      <c r="S267" t="str">
        <f t="shared" si="30"/>
        <v>Alerta</v>
      </c>
    </row>
    <row r="268" spans="1:19" x14ac:dyDescent="0.3">
      <c r="A268" t="s">
        <v>101</v>
      </c>
      <c r="B268" t="s">
        <v>19</v>
      </c>
      <c r="C268" s="5">
        <f>VLOOKUP(A268,Dim!A:B,2,0)</f>
        <v>1.02</v>
      </c>
      <c r="D268" s="1">
        <v>-0.10489999999999999</v>
      </c>
      <c r="E268" s="1">
        <v>0</v>
      </c>
      <c r="F268">
        <v>0.15</v>
      </c>
      <c r="G268" s="2">
        <v>36843000</v>
      </c>
      <c r="H268" s="2">
        <v>11913</v>
      </c>
      <c r="I268">
        <v>1</v>
      </c>
      <c r="J268">
        <v>0</v>
      </c>
      <c r="K268">
        <v>0</v>
      </c>
      <c r="L268" s="1">
        <v>0</v>
      </c>
      <c r="M268" s="1">
        <v>0</v>
      </c>
      <c r="N268" s="4">
        <f t="shared" si="25"/>
        <v>0</v>
      </c>
      <c r="O268" s="5">
        <f t="shared" si="26"/>
        <v>0</v>
      </c>
      <c r="P268" t="e">
        <f t="shared" si="27"/>
        <v>#DIV/0!</v>
      </c>
      <c r="Q268" s="6" t="e">
        <f t="shared" si="28"/>
        <v>#DIV/0!</v>
      </c>
      <c r="R268" s="6" t="e">
        <f t="shared" si="29"/>
        <v>#DIV/0!</v>
      </c>
      <c r="S268" t="str">
        <f t="shared" si="30"/>
        <v>Alerta</v>
      </c>
    </row>
    <row r="269" spans="1:19" x14ac:dyDescent="0.3">
      <c r="A269" t="s">
        <v>292</v>
      </c>
      <c r="B269" t="s">
        <v>19</v>
      </c>
      <c r="C269" s="5">
        <f>VLOOKUP(A269,Dim!A:B,2,0)</f>
        <v>104.64</v>
      </c>
      <c r="D269" s="1">
        <v>8.8400000000000006E-2</v>
      </c>
      <c r="E269" s="1">
        <v>0.14249999999999999</v>
      </c>
      <c r="F269">
        <v>1.03</v>
      </c>
      <c r="G269" s="2">
        <v>2234200000</v>
      </c>
      <c r="H269" s="2">
        <v>3862570</v>
      </c>
      <c r="I269">
        <v>0</v>
      </c>
      <c r="J269">
        <v>0</v>
      </c>
      <c r="K269">
        <v>0</v>
      </c>
      <c r="L269" s="1">
        <v>0</v>
      </c>
      <c r="M269" s="1">
        <v>0</v>
      </c>
      <c r="N269" s="4">
        <f t="shared" si="25"/>
        <v>1.1874999999999998E-2</v>
      </c>
      <c r="O269" s="5">
        <f t="shared" si="26"/>
        <v>1.2425999999999999</v>
      </c>
      <c r="P269">
        <f t="shared" si="27"/>
        <v>86</v>
      </c>
      <c r="Q269" s="6">
        <f t="shared" si="28"/>
        <v>8999.0400000000009</v>
      </c>
      <c r="R269" s="6">
        <f t="shared" si="29"/>
        <v>106.86359999999999</v>
      </c>
      <c r="S269" t="str">
        <f t="shared" si="30"/>
        <v>Alerta</v>
      </c>
    </row>
    <row r="270" spans="1:19" x14ac:dyDescent="0.3">
      <c r="A270" t="s">
        <v>293</v>
      </c>
      <c r="B270" t="s">
        <v>23</v>
      </c>
      <c r="C270" s="5">
        <f>VLOOKUP(A270,Dim!A:B,2,0)</f>
        <v>722</v>
      </c>
      <c r="D270" s="1">
        <v>0.1595</v>
      </c>
      <c r="E270" s="1">
        <v>0.18110000000000001</v>
      </c>
      <c r="F270">
        <v>0.75</v>
      </c>
      <c r="G270" s="2">
        <v>263369000</v>
      </c>
      <c r="H270" s="2">
        <v>323561</v>
      </c>
      <c r="I270">
        <v>0</v>
      </c>
      <c r="J270">
        <v>0</v>
      </c>
      <c r="K270">
        <v>0</v>
      </c>
      <c r="L270" s="1">
        <v>0</v>
      </c>
      <c r="M270" s="1">
        <v>0</v>
      </c>
      <c r="N270" s="4">
        <f t="shared" si="25"/>
        <v>1.5091666666666668E-2</v>
      </c>
      <c r="O270" s="5">
        <f t="shared" si="26"/>
        <v>10.896183333333335</v>
      </c>
      <c r="P270">
        <f t="shared" si="27"/>
        <v>68</v>
      </c>
      <c r="Q270" s="6">
        <f t="shared" si="28"/>
        <v>49096</v>
      </c>
      <c r="R270" s="6">
        <f t="shared" si="29"/>
        <v>740.94046666666679</v>
      </c>
      <c r="S270" t="str">
        <f t="shared" si="30"/>
        <v>Alerta</v>
      </c>
    </row>
    <row r="271" spans="1:19" x14ac:dyDescent="0.3">
      <c r="A271" t="s">
        <v>294</v>
      </c>
      <c r="B271" t="s">
        <v>14</v>
      </c>
      <c r="C271" s="5">
        <f>VLOOKUP(A271,Dim!A:B,2,0)</f>
        <v>70.400000000000006</v>
      </c>
      <c r="D271" s="1">
        <v>0.2185</v>
      </c>
      <c r="E271" s="1">
        <v>0.21360000000000001</v>
      </c>
      <c r="F271">
        <v>0.65</v>
      </c>
      <c r="G271" s="2">
        <v>664221000</v>
      </c>
      <c r="H271" s="2">
        <v>2444300</v>
      </c>
      <c r="I271">
        <v>4</v>
      </c>
      <c r="J271" s="3">
        <v>10858</v>
      </c>
      <c r="K271" s="3">
        <v>1806.13</v>
      </c>
      <c r="L271" s="1">
        <v>0.1663</v>
      </c>
      <c r="M271" s="1">
        <v>2.7E-2</v>
      </c>
      <c r="N271" s="4">
        <f t="shared" si="25"/>
        <v>1.78E-2</v>
      </c>
      <c r="O271" s="5">
        <f t="shared" si="26"/>
        <v>1.25312</v>
      </c>
      <c r="P271">
        <f t="shared" si="27"/>
        <v>58</v>
      </c>
      <c r="Q271" s="6">
        <f t="shared" si="28"/>
        <v>4083.2000000000003</v>
      </c>
      <c r="R271" s="6">
        <f t="shared" si="29"/>
        <v>72.680959999999999</v>
      </c>
      <c r="S271" t="str">
        <f t="shared" si="30"/>
        <v>Bom</v>
      </c>
    </row>
    <row r="272" spans="1:19" x14ac:dyDescent="0.3">
      <c r="A272" t="s">
        <v>295</v>
      </c>
      <c r="B272" t="s">
        <v>14</v>
      </c>
      <c r="C272" s="5">
        <f>VLOOKUP(A272,Dim!A:B,2,0)</f>
        <v>118.76</v>
      </c>
      <c r="D272" s="1">
        <v>6.7699999999999996E-2</v>
      </c>
      <c r="E272" s="1">
        <v>0.1113</v>
      </c>
      <c r="F272">
        <v>1.03</v>
      </c>
      <c r="G272" s="2">
        <v>91598000</v>
      </c>
      <c r="H272" s="2">
        <v>8646</v>
      </c>
      <c r="I272">
        <v>3</v>
      </c>
      <c r="J272">
        <v>9.0299999999999994</v>
      </c>
      <c r="K272">
        <v>0.66</v>
      </c>
      <c r="L272" s="1">
        <v>7.2700000000000001E-2</v>
      </c>
      <c r="M272" s="1">
        <v>0</v>
      </c>
      <c r="N272" s="4">
        <f t="shared" si="25"/>
        <v>9.2750000000000003E-3</v>
      </c>
      <c r="O272" s="5">
        <f t="shared" si="26"/>
        <v>1.101499</v>
      </c>
      <c r="P272">
        <f t="shared" si="27"/>
        <v>109</v>
      </c>
      <c r="Q272" s="6">
        <f t="shared" si="28"/>
        <v>12944.84</v>
      </c>
      <c r="R272" s="6">
        <f t="shared" si="29"/>
        <v>120.063391</v>
      </c>
      <c r="S272" t="str">
        <f t="shared" si="30"/>
        <v>Alerta</v>
      </c>
    </row>
    <row r="273" spans="1:19" x14ac:dyDescent="0.3">
      <c r="A273" t="s">
        <v>296</v>
      </c>
      <c r="B273" t="s">
        <v>16</v>
      </c>
      <c r="C273" s="5">
        <f>VLOOKUP(A273,Dim!A:B,2,0)</f>
        <v>100</v>
      </c>
      <c r="D273" s="1">
        <v>0.12620000000000001</v>
      </c>
      <c r="E273" s="1">
        <v>0.1711</v>
      </c>
      <c r="F273">
        <v>0.81</v>
      </c>
      <c r="G273" s="2">
        <v>308672000</v>
      </c>
      <c r="H273" s="2">
        <v>733523</v>
      </c>
      <c r="I273">
        <v>2</v>
      </c>
      <c r="J273" s="3">
        <v>16503.599999999999</v>
      </c>
      <c r="K273" s="3">
        <v>1466.47</v>
      </c>
      <c r="L273" s="1">
        <v>8.8900000000000007E-2</v>
      </c>
      <c r="M273" s="1">
        <v>1</v>
      </c>
      <c r="N273" s="4">
        <f t="shared" si="25"/>
        <v>1.4258333333333333E-2</v>
      </c>
      <c r="O273" s="5">
        <f t="shared" si="26"/>
        <v>1.4258333333333333</v>
      </c>
      <c r="P273">
        <f t="shared" si="27"/>
        <v>72</v>
      </c>
      <c r="Q273" s="6">
        <f t="shared" si="28"/>
        <v>7200</v>
      </c>
      <c r="R273" s="6">
        <f t="shared" si="29"/>
        <v>102.66</v>
      </c>
      <c r="S273" t="str">
        <f t="shared" si="30"/>
        <v>Alerta</v>
      </c>
    </row>
    <row r="274" spans="1:19" x14ac:dyDescent="0.3">
      <c r="A274" t="s">
        <v>40</v>
      </c>
      <c r="B274" t="s">
        <v>19</v>
      </c>
      <c r="C274" s="5">
        <f>VLOOKUP(A274,Dim!A:B,2,0)</f>
        <v>1.03</v>
      </c>
      <c r="D274" s="1">
        <v>7.1900000000000006E-2</v>
      </c>
      <c r="E274" s="1">
        <v>7.5600000000000001E-2</v>
      </c>
      <c r="F274">
        <v>1.07</v>
      </c>
      <c r="G274" s="2">
        <v>171285000</v>
      </c>
      <c r="H274" s="2">
        <v>5651</v>
      </c>
      <c r="I274">
        <v>6</v>
      </c>
      <c r="J274" s="3">
        <v>1309.45</v>
      </c>
      <c r="K274">
        <v>105.99</v>
      </c>
      <c r="L274" s="1">
        <v>8.09E-2</v>
      </c>
      <c r="M274" s="1">
        <v>0</v>
      </c>
      <c r="N274" s="4">
        <f t="shared" si="25"/>
        <v>6.3E-3</v>
      </c>
      <c r="O274" s="5">
        <f t="shared" si="26"/>
        <v>6.489E-3</v>
      </c>
      <c r="P274">
        <f t="shared" si="27"/>
        <v>160</v>
      </c>
      <c r="Q274" s="6">
        <f t="shared" si="28"/>
        <v>164.8</v>
      </c>
      <c r="R274" s="6">
        <f t="shared" si="29"/>
        <v>1.0382400000000001</v>
      </c>
      <c r="S274" t="str">
        <f t="shared" si="30"/>
        <v>Alerta</v>
      </c>
    </row>
    <row r="275" spans="1:19" x14ac:dyDescent="0.3">
      <c r="A275" t="s">
        <v>379</v>
      </c>
      <c r="B275" t="s">
        <v>19</v>
      </c>
      <c r="C275" s="5">
        <f>VLOOKUP(A275,Dim!A:B,2,0)</f>
        <v>1.03</v>
      </c>
      <c r="D275" s="1">
        <v>-0.1424</v>
      </c>
      <c r="E275" s="1">
        <v>0.36009999999999998</v>
      </c>
      <c r="F275">
        <v>0.38</v>
      </c>
      <c r="G275" s="2">
        <v>3231250</v>
      </c>
      <c r="H275">
        <v>100</v>
      </c>
      <c r="I275">
        <v>1</v>
      </c>
      <c r="J275" s="3">
        <v>80120.899999999994</v>
      </c>
      <c r="K275">
        <v>0</v>
      </c>
      <c r="L275" s="1">
        <v>0</v>
      </c>
      <c r="M275" s="1">
        <v>0</v>
      </c>
      <c r="N275" s="4">
        <f t="shared" si="25"/>
        <v>3.0008333333333331E-2</v>
      </c>
      <c r="O275" s="5">
        <f t="shared" si="26"/>
        <v>3.0908583333333333E-2</v>
      </c>
      <c r="P275">
        <f t="shared" si="27"/>
        <v>35</v>
      </c>
      <c r="Q275" s="6">
        <f t="shared" si="28"/>
        <v>36.050000000000004</v>
      </c>
      <c r="R275" s="6">
        <f t="shared" si="29"/>
        <v>1.0818004166666666</v>
      </c>
      <c r="S275" t="str">
        <f t="shared" si="30"/>
        <v>Alerta</v>
      </c>
    </row>
    <row r="276" spans="1:19" x14ac:dyDescent="0.3">
      <c r="A276" t="s">
        <v>289</v>
      </c>
      <c r="B276" t="s">
        <v>37</v>
      </c>
      <c r="C276" s="5">
        <f>VLOOKUP(A276,Dim!A:B,2,0)</f>
        <v>0.3</v>
      </c>
      <c r="D276" s="1">
        <v>-4.1999999999999997E-3</v>
      </c>
      <c r="E276" s="1">
        <v>1.44E-2</v>
      </c>
      <c r="F276">
        <v>0.49</v>
      </c>
      <c r="G276" s="2">
        <v>5749620</v>
      </c>
      <c r="H276" s="2">
        <v>2287</v>
      </c>
      <c r="I276">
        <v>0</v>
      </c>
      <c r="J276">
        <v>0</v>
      </c>
      <c r="K276">
        <v>0</v>
      </c>
      <c r="L276" s="1">
        <v>0</v>
      </c>
      <c r="M276" s="1">
        <v>0</v>
      </c>
      <c r="N276" s="4">
        <f t="shared" si="25"/>
        <v>1.1999999999999999E-3</v>
      </c>
      <c r="O276" s="5">
        <f t="shared" si="26"/>
        <v>3.5999999999999997E-4</v>
      </c>
      <c r="P276">
        <f t="shared" si="27"/>
        <v>835</v>
      </c>
      <c r="Q276" s="6">
        <f t="shared" si="28"/>
        <v>250.5</v>
      </c>
      <c r="R276" s="6">
        <f t="shared" si="29"/>
        <v>0.30059999999999998</v>
      </c>
      <c r="S276" t="str">
        <f t="shared" si="30"/>
        <v>Alerta</v>
      </c>
    </row>
    <row r="277" spans="1:19" x14ac:dyDescent="0.3">
      <c r="A277" t="s">
        <v>87</v>
      </c>
      <c r="B277" t="s">
        <v>14</v>
      </c>
      <c r="C277" s="5">
        <f>VLOOKUP(A277,Dim!A:B,2,0)</f>
        <v>9.3000000000000007</v>
      </c>
      <c r="D277" s="1">
        <v>0.1232</v>
      </c>
      <c r="E277" s="1">
        <v>0.12139999999999999</v>
      </c>
      <c r="F277">
        <v>0.92</v>
      </c>
      <c r="G277" s="2">
        <v>929528000</v>
      </c>
      <c r="H277" s="2">
        <v>1626560</v>
      </c>
      <c r="I277">
        <v>0</v>
      </c>
      <c r="J277">
        <v>0</v>
      </c>
      <c r="K277">
        <v>0</v>
      </c>
      <c r="L277" s="1">
        <v>0</v>
      </c>
      <c r="M277" s="1">
        <v>0</v>
      </c>
      <c r="N277" s="4">
        <f t="shared" si="25"/>
        <v>1.0116666666666666E-2</v>
      </c>
      <c r="O277" s="5">
        <f t="shared" si="26"/>
        <v>9.4085000000000002E-2</v>
      </c>
      <c r="P277">
        <f t="shared" si="27"/>
        <v>100</v>
      </c>
      <c r="Q277" s="6">
        <f t="shared" si="28"/>
        <v>930.00000000000011</v>
      </c>
      <c r="R277" s="6">
        <f t="shared" si="29"/>
        <v>9.4085000000000001</v>
      </c>
      <c r="S277" t="str">
        <f t="shared" si="30"/>
        <v>Bom</v>
      </c>
    </row>
    <row r="278" spans="1:19" x14ac:dyDescent="0.3">
      <c r="A278" t="s">
        <v>301</v>
      </c>
      <c r="B278" t="s">
        <v>19</v>
      </c>
      <c r="C278" s="5">
        <f>VLOOKUP(A278,Dim!A:B,2,0)</f>
        <v>57.2</v>
      </c>
      <c r="D278" s="1">
        <v>-8.5900000000000004E-2</v>
      </c>
      <c r="E278" s="1">
        <v>0</v>
      </c>
      <c r="F278">
        <v>1.1200000000000001</v>
      </c>
      <c r="G278" s="2">
        <v>20657200</v>
      </c>
      <c r="H278">
        <v>0</v>
      </c>
      <c r="I278">
        <v>12</v>
      </c>
      <c r="J278" s="3">
        <v>6032.78</v>
      </c>
      <c r="K278">
        <v>0</v>
      </c>
      <c r="L278" s="1">
        <v>0</v>
      </c>
      <c r="M278" s="1">
        <v>0</v>
      </c>
      <c r="N278" s="4">
        <f t="shared" si="25"/>
        <v>0</v>
      </c>
      <c r="O278" s="5">
        <f t="shared" si="26"/>
        <v>0</v>
      </c>
      <c r="P278" t="e">
        <f t="shared" si="27"/>
        <v>#DIV/0!</v>
      </c>
      <c r="Q278" s="6" t="e">
        <f t="shared" si="28"/>
        <v>#DIV/0!</v>
      </c>
      <c r="R278" s="6" t="e">
        <f t="shared" si="29"/>
        <v>#DIV/0!</v>
      </c>
      <c r="S278" t="str">
        <f t="shared" si="30"/>
        <v>Alerta</v>
      </c>
    </row>
    <row r="279" spans="1:19" x14ac:dyDescent="0.3">
      <c r="A279" t="s">
        <v>103</v>
      </c>
      <c r="B279" t="s">
        <v>14</v>
      </c>
      <c r="C279" s="5">
        <f>VLOOKUP(A279,Dim!A:B,2,0)</f>
        <v>8.64</v>
      </c>
      <c r="D279" s="1">
        <v>0.114</v>
      </c>
      <c r="E279" s="1">
        <v>0.11269999999999999</v>
      </c>
      <c r="F279">
        <v>0.83</v>
      </c>
      <c r="G279" s="2">
        <v>589834000</v>
      </c>
      <c r="H279" s="2">
        <v>228095</v>
      </c>
      <c r="I279">
        <v>1</v>
      </c>
      <c r="J279" s="3">
        <v>6485.73</v>
      </c>
      <c r="K279">
        <v>603.04999999999995</v>
      </c>
      <c r="L279" s="1">
        <v>9.2999999999999999E-2</v>
      </c>
      <c r="M279" s="1">
        <v>0.309</v>
      </c>
      <c r="N279" s="4">
        <f t="shared" si="25"/>
        <v>9.3916666666666662E-3</v>
      </c>
      <c r="O279" s="5">
        <f t="shared" si="26"/>
        <v>8.1144000000000008E-2</v>
      </c>
      <c r="P279">
        <f t="shared" si="27"/>
        <v>108</v>
      </c>
      <c r="Q279" s="6">
        <f t="shared" si="28"/>
        <v>933.12000000000012</v>
      </c>
      <c r="R279" s="6">
        <f t="shared" si="29"/>
        <v>8.7635520000000007</v>
      </c>
      <c r="S279" t="str">
        <f t="shared" si="30"/>
        <v>Bom</v>
      </c>
    </row>
    <row r="280" spans="1:19" x14ac:dyDescent="0.3">
      <c r="A280" t="s">
        <v>303</v>
      </c>
      <c r="B280" t="s">
        <v>37</v>
      </c>
      <c r="C280" s="5">
        <f>VLOOKUP(A280,Dim!A:B,2,0)</f>
        <v>500</v>
      </c>
      <c r="D280" s="1">
        <v>0.10440000000000001</v>
      </c>
      <c r="E280" s="1">
        <v>0.37109999999999999</v>
      </c>
      <c r="F280">
        <v>1.32</v>
      </c>
      <c r="G280" s="2">
        <v>371235000</v>
      </c>
      <c r="H280">
        <v>104</v>
      </c>
      <c r="I280">
        <v>0</v>
      </c>
      <c r="J280">
        <v>0</v>
      </c>
      <c r="K280">
        <v>0</v>
      </c>
      <c r="L280" s="1">
        <v>0</v>
      </c>
      <c r="M280" s="1">
        <v>0</v>
      </c>
      <c r="N280" s="4">
        <f t="shared" si="25"/>
        <v>3.0924999999999998E-2</v>
      </c>
      <c r="O280" s="5">
        <f t="shared" si="26"/>
        <v>15.462499999999999</v>
      </c>
      <c r="P280">
        <f t="shared" si="27"/>
        <v>34</v>
      </c>
      <c r="Q280" s="6">
        <f t="shared" si="28"/>
        <v>17000</v>
      </c>
      <c r="R280" s="6">
        <f t="shared" si="29"/>
        <v>525.72499999999991</v>
      </c>
      <c r="S280" t="str">
        <f t="shared" si="30"/>
        <v>Alerta</v>
      </c>
    </row>
    <row r="281" spans="1:19" x14ac:dyDescent="0.3">
      <c r="A281" t="s">
        <v>304</v>
      </c>
      <c r="B281" t="s">
        <v>14</v>
      </c>
      <c r="C281" s="5">
        <f>VLOOKUP(A281,Dim!A:B,2,0)</f>
        <v>95</v>
      </c>
      <c r="D281" s="1">
        <v>1.4E-3</v>
      </c>
      <c r="E281" s="1">
        <v>0</v>
      </c>
      <c r="F281">
        <v>1.19</v>
      </c>
      <c r="G281" s="2">
        <v>35173200</v>
      </c>
      <c r="H281">
        <v>4</v>
      </c>
      <c r="I281">
        <v>0</v>
      </c>
      <c r="J281">
        <v>0</v>
      </c>
      <c r="K281">
        <v>0</v>
      </c>
      <c r="L281" s="1">
        <v>0</v>
      </c>
      <c r="M281" s="1">
        <v>0</v>
      </c>
      <c r="N281" s="4">
        <f t="shared" si="25"/>
        <v>0</v>
      </c>
      <c r="O281" s="5">
        <f t="shared" si="26"/>
        <v>0</v>
      </c>
      <c r="P281" t="e">
        <f t="shared" si="27"/>
        <v>#DIV/0!</v>
      </c>
      <c r="Q281" s="6" t="e">
        <f t="shared" si="28"/>
        <v>#DIV/0!</v>
      </c>
      <c r="R281" s="6" t="e">
        <f t="shared" si="29"/>
        <v>#DIV/0!</v>
      </c>
      <c r="S281" t="str">
        <f t="shared" si="30"/>
        <v>Bom</v>
      </c>
    </row>
    <row r="282" spans="1:19" x14ac:dyDescent="0.3">
      <c r="A282" t="s">
        <v>305</v>
      </c>
      <c r="B282" t="s">
        <v>23</v>
      </c>
      <c r="C282" s="5">
        <f>VLOOKUP(A282,Dim!A:B,2,0)</f>
        <v>76.05</v>
      </c>
      <c r="D282" s="1">
        <v>0.16370000000000001</v>
      </c>
      <c r="E282" s="1">
        <v>9.1499999999999998E-2</v>
      </c>
      <c r="F282">
        <v>0.76</v>
      </c>
      <c r="G282" s="2">
        <v>75780800</v>
      </c>
      <c r="H282" s="2">
        <v>56857</v>
      </c>
      <c r="I282">
        <v>0</v>
      </c>
      <c r="J282">
        <v>0</v>
      </c>
      <c r="K282">
        <v>0</v>
      </c>
      <c r="L282" s="1">
        <v>0</v>
      </c>
      <c r="M282" s="1">
        <v>0</v>
      </c>
      <c r="N282" s="4">
        <f t="shared" si="25"/>
        <v>7.6249999999999998E-3</v>
      </c>
      <c r="O282" s="5">
        <f t="shared" si="26"/>
        <v>0.57988125000000001</v>
      </c>
      <c r="P282">
        <f t="shared" si="27"/>
        <v>133</v>
      </c>
      <c r="Q282" s="6">
        <f t="shared" si="28"/>
        <v>10114.65</v>
      </c>
      <c r="R282" s="6">
        <f t="shared" si="29"/>
        <v>77.12420625</v>
      </c>
      <c r="S282" t="str">
        <f t="shared" si="30"/>
        <v>Bom</v>
      </c>
    </row>
    <row r="283" spans="1:19" x14ac:dyDescent="0.3">
      <c r="A283" t="s">
        <v>17</v>
      </c>
      <c r="B283" t="s">
        <v>14</v>
      </c>
      <c r="C283" s="5">
        <f>VLOOKUP(A283,Dim!A:B,2,0)</f>
        <v>0</v>
      </c>
      <c r="D283" s="1">
        <v>8.5500000000000007E-2</v>
      </c>
      <c r="E283" s="1">
        <v>0</v>
      </c>
      <c r="F283">
        <v>1.75</v>
      </c>
      <c r="G283" s="2">
        <v>411893000</v>
      </c>
      <c r="H283">
        <v>0</v>
      </c>
      <c r="I283">
        <v>0</v>
      </c>
      <c r="J283">
        <v>0</v>
      </c>
      <c r="K283">
        <v>0</v>
      </c>
      <c r="L283" s="1">
        <v>0</v>
      </c>
      <c r="M283" s="1">
        <v>0</v>
      </c>
      <c r="N283" s="4">
        <f t="shared" si="25"/>
        <v>0</v>
      </c>
      <c r="O283" s="5">
        <f t="shared" si="26"/>
        <v>0</v>
      </c>
      <c r="P283" t="e">
        <f t="shared" si="27"/>
        <v>#DIV/0!</v>
      </c>
      <c r="Q283" s="6" t="e">
        <f t="shared" si="28"/>
        <v>#DIV/0!</v>
      </c>
      <c r="R283" s="6" t="e">
        <f t="shared" si="29"/>
        <v>#DIV/0!</v>
      </c>
      <c r="S283" t="str">
        <f t="shared" si="30"/>
        <v>Bom</v>
      </c>
    </row>
    <row r="284" spans="1:19" x14ac:dyDescent="0.3">
      <c r="A284" t="s">
        <v>18</v>
      </c>
      <c r="B284" t="s">
        <v>19</v>
      </c>
      <c r="C284" s="5">
        <f>VLOOKUP(A284,Dim!A:B,2,0)</f>
        <v>0</v>
      </c>
      <c r="D284" s="1">
        <v>0.12609999999999999</v>
      </c>
      <c r="E284" s="1">
        <v>0</v>
      </c>
      <c r="F284">
        <v>1.07</v>
      </c>
      <c r="G284" s="2">
        <v>498867000</v>
      </c>
      <c r="H284">
        <v>0</v>
      </c>
      <c r="I284">
        <v>0</v>
      </c>
      <c r="J284">
        <v>0</v>
      </c>
      <c r="K284">
        <v>0</v>
      </c>
      <c r="L284" s="1">
        <v>0</v>
      </c>
      <c r="M284" s="1">
        <v>0</v>
      </c>
      <c r="N284" s="4">
        <f t="shared" si="25"/>
        <v>0</v>
      </c>
      <c r="O284" s="5">
        <f t="shared" si="26"/>
        <v>0</v>
      </c>
      <c r="P284" t="e">
        <f t="shared" si="27"/>
        <v>#DIV/0!</v>
      </c>
      <c r="Q284" s="6" t="e">
        <f t="shared" si="28"/>
        <v>#DIV/0!</v>
      </c>
      <c r="R284" s="6" t="e">
        <f t="shared" si="29"/>
        <v>#DIV/0!</v>
      </c>
      <c r="S284" t="str">
        <f t="shared" si="30"/>
        <v>Bom</v>
      </c>
    </row>
    <row r="285" spans="1:19" x14ac:dyDescent="0.3">
      <c r="A285" t="s">
        <v>308</v>
      </c>
      <c r="B285" t="s">
        <v>19</v>
      </c>
      <c r="C285" s="5">
        <f>VLOOKUP(A285,Dim!A:B,2,0)</f>
        <v>98.42</v>
      </c>
      <c r="D285" s="1">
        <v>4.1700000000000001E-2</v>
      </c>
      <c r="E285" s="1">
        <v>7.7600000000000002E-2</v>
      </c>
      <c r="F285">
        <v>1</v>
      </c>
      <c r="G285" s="2">
        <v>15402800</v>
      </c>
      <c r="H285">
        <v>934</v>
      </c>
      <c r="I285">
        <v>0</v>
      </c>
      <c r="J285">
        <v>0</v>
      </c>
      <c r="K285">
        <v>0</v>
      </c>
      <c r="L285" s="1">
        <v>0</v>
      </c>
      <c r="M285" s="1">
        <v>0</v>
      </c>
      <c r="N285" s="4">
        <f t="shared" si="25"/>
        <v>6.4666666666666666E-3</v>
      </c>
      <c r="O285" s="5">
        <f t="shared" si="26"/>
        <v>0.63644933333333331</v>
      </c>
      <c r="P285">
        <f t="shared" si="27"/>
        <v>156</v>
      </c>
      <c r="Q285" s="6">
        <f t="shared" si="28"/>
        <v>15353.52</v>
      </c>
      <c r="R285" s="6">
        <f t="shared" si="29"/>
        <v>99.286096000000001</v>
      </c>
      <c r="S285" t="str">
        <f t="shared" si="30"/>
        <v>Alerta</v>
      </c>
    </row>
    <row r="286" spans="1:19" x14ac:dyDescent="0.3">
      <c r="A286" t="s">
        <v>22</v>
      </c>
      <c r="B286" t="s">
        <v>23</v>
      </c>
      <c r="C286" s="5">
        <f>VLOOKUP(A286,Dim!A:B,2,0)</f>
        <v>0</v>
      </c>
      <c r="D286" s="1">
        <v>8.2000000000000007E-3</v>
      </c>
      <c r="E286" s="1">
        <v>0</v>
      </c>
      <c r="F286">
        <v>12.28</v>
      </c>
      <c r="G286" s="2">
        <v>1390540000</v>
      </c>
      <c r="H286">
        <v>0</v>
      </c>
      <c r="I286">
        <v>0</v>
      </c>
      <c r="J286">
        <v>0</v>
      </c>
      <c r="K286">
        <v>0</v>
      </c>
      <c r="L286" s="1">
        <v>0</v>
      </c>
      <c r="M286" s="1">
        <v>0</v>
      </c>
      <c r="N286" s="4">
        <f t="shared" si="25"/>
        <v>0</v>
      </c>
      <c r="O286" s="5">
        <f t="shared" si="26"/>
        <v>0</v>
      </c>
      <c r="P286" t="e">
        <f t="shared" si="27"/>
        <v>#DIV/0!</v>
      </c>
      <c r="Q286" s="6" t="e">
        <f t="shared" si="28"/>
        <v>#DIV/0!</v>
      </c>
      <c r="R286" s="6" t="e">
        <f t="shared" si="29"/>
        <v>#DIV/0!</v>
      </c>
      <c r="S286" t="str">
        <f t="shared" si="30"/>
        <v>Bom</v>
      </c>
    </row>
    <row r="287" spans="1:19" x14ac:dyDescent="0.3">
      <c r="A287" t="s">
        <v>310</v>
      </c>
      <c r="B287" t="s">
        <v>47</v>
      </c>
      <c r="C287" s="5">
        <f>VLOOKUP(A287,Dim!A:B,2,0)</f>
        <v>105.45</v>
      </c>
      <c r="D287" s="1">
        <v>9.0200000000000002E-2</v>
      </c>
      <c r="E287" s="1">
        <v>8.6800000000000002E-2</v>
      </c>
      <c r="F287">
        <v>0.91</v>
      </c>
      <c r="G287" s="2">
        <v>1730650000</v>
      </c>
      <c r="H287" s="2">
        <v>3070940</v>
      </c>
      <c r="I287">
        <v>10</v>
      </c>
      <c r="J287" s="3">
        <v>3071.26</v>
      </c>
      <c r="K287">
        <v>301.51</v>
      </c>
      <c r="L287" s="1">
        <v>9.8199999999999996E-2</v>
      </c>
      <c r="M287" s="1">
        <v>4.4000000000000003E-3</v>
      </c>
      <c r="N287" s="4">
        <f t="shared" si="25"/>
        <v>7.2333333333333338E-3</v>
      </c>
      <c r="O287" s="5">
        <f t="shared" si="26"/>
        <v>0.76275500000000007</v>
      </c>
      <c r="P287">
        <f t="shared" si="27"/>
        <v>140</v>
      </c>
      <c r="Q287" s="6">
        <f t="shared" si="28"/>
        <v>14763</v>
      </c>
      <c r="R287" s="6">
        <f t="shared" si="29"/>
        <v>106.78570000000001</v>
      </c>
      <c r="S287" t="str">
        <f t="shared" si="30"/>
        <v>Bom</v>
      </c>
    </row>
    <row r="288" spans="1:19" x14ac:dyDescent="0.3">
      <c r="A288" t="s">
        <v>24</v>
      </c>
      <c r="B288" t="s">
        <v>25</v>
      </c>
      <c r="C288" s="5">
        <f>VLOOKUP(A288,Dim!A:B,2,0)</f>
        <v>0</v>
      </c>
      <c r="D288" s="1">
        <v>5.3E-3</v>
      </c>
      <c r="E288" s="1">
        <v>0</v>
      </c>
      <c r="F288">
        <v>11.57</v>
      </c>
      <c r="G288" s="2">
        <v>19291500000</v>
      </c>
      <c r="H288">
        <v>0</v>
      </c>
      <c r="I288">
        <v>82</v>
      </c>
      <c r="J288" s="3">
        <v>63941.3</v>
      </c>
      <c r="K288">
        <v>468.9</v>
      </c>
      <c r="L288" s="1">
        <v>7.3000000000000001E-3</v>
      </c>
      <c r="M288" s="1">
        <v>3.8600000000000002E-2</v>
      </c>
      <c r="N288" s="4">
        <f t="shared" si="25"/>
        <v>0</v>
      </c>
      <c r="O288" s="5">
        <f t="shared" si="26"/>
        <v>0</v>
      </c>
      <c r="P288" t="e">
        <f t="shared" si="27"/>
        <v>#DIV/0!</v>
      </c>
      <c r="Q288" s="6" t="e">
        <f t="shared" si="28"/>
        <v>#DIV/0!</v>
      </c>
      <c r="R288" s="6" t="e">
        <f t="shared" si="29"/>
        <v>#DIV/0!</v>
      </c>
      <c r="S288" t="str">
        <f t="shared" si="30"/>
        <v>Bom</v>
      </c>
    </row>
    <row r="289" spans="1:19" x14ac:dyDescent="0.3">
      <c r="A289" t="s">
        <v>39</v>
      </c>
      <c r="B289" t="s">
        <v>14</v>
      </c>
      <c r="C289" s="5">
        <f>VLOOKUP(A289,Dim!A:B,2,0)</f>
        <v>0</v>
      </c>
      <c r="D289" s="1">
        <v>-0.60770000000000002</v>
      </c>
      <c r="E289" s="1">
        <v>0</v>
      </c>
      <c r="F289">
        <v>0.86</v>
      </c>
      <c r="G289" s="2">
        <v>368999000</v>
      </c>
      <c r="H289">
        <v>0</v>
      </c>
      <c r="I289">
        <v>12</v>
      </c>
      <c r="J289" s="3">
        <v>1100.8399999999999</v>
      </c>
      <c r="K289">
        <v>99.19</v>
      </c>
      <c r="L289" s="1">
        <v>9.01E-2</v>
      </c>
      <c r="M289" s="1">
        <v>0</v>
      </c>
      <c r="N289" s="4">
        <f t="shared" si="25"/>
        <v>0</v>
      </c>
      <c r="O289" s="5">
        <f t="shared" si="26"/>
        <v>0</v>
      </c>
      <c r="P289" t="e">
        <f t="shared" si="27"/>
        <v>#DIV/0!</v>
      </c>
      <c r="Q289" s="6" t="e">
        <f t="shared" si="28"/>
        <v>#DIV/0!</v>
      </c>
      <c r="R289" s="6" t="e">
        <f t="shared" si="29"/>
        <v>#DIV/0!</v>
      </c>
      <c r="S289" t="str">
        <f t="shared" si="30"/>
        <v>Alerta</v>
      </c>
    </row>
    <row r="290" spans="1:19" x14ac:dyDescent="0.3">
      <c r="A290" t="s">
        <v>32</v>
      </c>
      <c r="B290" t="s">
        <v>23</v>
      </c>
      <c r="C290" s="5">
        <f>VLOOKUP(A290,Dim!A:B,2,0)</f>
        <v>0</v>
      </c>
      <c r="D290" s="1">
        <v>0.1176</v>
      </c>
      <c r="E290" s="1">
        <v>5.2299999999999999E-2</v>
      </c>
      <c r="F290">
        <v>0.86</v>
      </c>
      <c r="G290" s="2">
        <v>97155500</v>
      </c>
      <c r="H290">
        <v>0</v>
      </c>
      <c r="I290">
        <v>0</v>
      </c>
      <c r="J290">
        <v>0</v>
      </c>
      <c r="K290">
        <v>0</v>
      </c>
      <c r="L290" s="1">
        <v>0</v>
      </c>
      <c r="M290" s="1">
        <v>0</v>
      </c>
      <c r="N290" s="4">
        <f t="shared" si="25"/>
        <v>4.358333333333333E-3</v>
      </c>
      <c r="O290" s="5">
        <f t="shared" si="26"/>
        <v>0</v>
      </c>
      <c r="P290" t="e">
        <f t="shared" si="27"/>
        <v>#DIV/0!</v>
      </c>
      <c r="Q290" s="6" t="e">
        <f t="shared" si="28"/>
        <v>#DIV/0!</v>
      </c>
      <c r="R290" s="6" t="e">
        <f t="shared" si="29"/>
        <v>#DIV/0!</v>
      </c>
      <c r="S290" t="str">
        <f t="shared" si="30"/>
        <v>Bom</v>
      </c>
    </row>
    <row r="291" spans="1:19" x14ac:dyDescent="0.3">
      <c r="A291" t="s">
        <v>314</v>
      </c>
      <c r="B291" t="s">
        <v>14</v>
      </c>
      <c r="C291" s="5">
        <f>VLOOKUP(A291,Dim!A:B,2,0)</f>
        <v>64.75</v>
      </c>
      <c r="D291" s="1">
        <v>7.0300000000000001E-2</v>
      </c>
      <c r="E291" s="1">
        <v>0.182</v>
      </c>
      <c r="F291">
        <v>0.63</v>
      </c>
      <c r="G291" s="2">
        <v>72267000</v>
      </c>
      <c r="H291" s="2">
        <v>250048</v>
      </c>
      <c r="I291">
        <v>7</v>
      </c>
      <c r="J291" s="3">
        <v>1116.21</v>
      </c>
      <c r="K291">
        <v>111.33</v>
      </c>
      <c r="L291" s="1">
        <v>9.9699999999999997E-2</v>
      </c>
      <c r="M291" s="1">
        <v>0.2455</v>
      </c>
      <c r="N291" s="4">
        <f t="shared" si="25"/>
        <v>1.5166666666666667E-2</v>
      </c>
      <c r="O291" s="5">
        <f t="shared" si="26"/>
        <v>0.9820416666666667</v>
      </c>
      <c r="P291">
        <f t="shared" si="27"/>
        <v>67</v>
      </c>
      <c r="Q291" s="6">
        <f t="shared" si="28"/>
        <v>4338.25</v>
      </c>
      <c r="R291" s="6">
        <f t="shared" si="29"/>
        <v>65.796791666666664</v>
      </c>
      <c r="S291" t="str">
        <f t="shared" si="30"/>
        <v>Alerta</v>
      </c>
    </row>
    <row r="292" spans="1:19" x14ac:dyDescent="0.3">
      <c r="A292" t="s">
        <v>34</v>
      </c>
      <c r="B292" t="s">
        <v>23</v>
      </c>
      <c r="C292" s="5">
        <f>VLOOKUP(A292,Dim!A:B,2,0)</f>
        <v>0</v>
      </c>
      <c r="D292" s="1">
        <v>0.1552</v>
      </c>
      <c r="E292" s="1">
        <v>2.29E-2</v>
      </c>
      <c r="F292">
        <v>0.79</v>
      </c>
      <c r="G292" s="2">
        <v>16500000</v>
      </c>
      <c r="H292">
        <v>0</v>
      </c>
      <c r="I292">
        <v>0</v>
      </c>
      <c r="J292">
        <v>0</v>
      </c>
      <c r="K292">
        <v>0</v>
      </c>
      <c r="L292" s="1">
        <v>0</v>
      </c>
      <c r="M292" s="1">
        <v>0</v>
      </c>
      <c r="N292" s="4">
        <f t="shared" si="25"/>
        <v>1.9083333333333333E-3</v>
      </c>
      <c r="O292" s="5">
        <f t="shared" si="26"/>
        <v>0</v>
      </c>
      <c r="P292" t="e">
        <f t="shared" si="27"/>
        <v>#DIV/0!</v>
      </c>
      <c r="Q292" s="6" t="e">
        <f t="shared" si="28"/>
        <v>#DIV/0!</v>
      </c>
      <c r="R292" s="6" t="e">
        <f t="shared" si="29"/>
        <v>#DIV/0!</v>
      </c>
      <c r="S292" t="str">
        <f t="shared" si="30"/>
        <v>Bom</v>
      </c>
    </row>
    <row r="293" spans="1:19" x14ac:dyDescent="0.3">
      <c r="A293" t="s">
        <v>316</v>
      </c>
      <c r="B293" t="s">
        <v>14</v>
      </c>
      <c r="C293" s="5">
        <f>VLOOKUP(A293,Dim!A:B,2,0)</f>
        <v>89.8</v>
      </c>
      <c r="D293" s="1">
        <v>0.1164</v>
      </c>
      <c r="E293" s="1">
        <v>0.1217</v>
      </c>
      <c r="F293">
        <v>0.94</v>
      </c>
      <c r="G293" s="2">
        <v>1487390000</v>
      </c>
      <c r="H293" s="2">
        <v>3075910</v>
      </c>
      <c r="I293">
        <v>0</v>
      </c>
      <c r="J293">
        <v>0</v>
      </c>
      <c r="K293">
        <v>0</v>
      </c>
      <c r="L293" s="1">
        <v>0</v>
      </c>
      <c r="M293" s="1">
        <v>0</v>
      </c>
      <c r="N293" s="4">
        <f t="shared" si="25"/>
        <v>1.0141666666666667E-2</v>
      </c>
      <c r="O293" s="5">
        <f t="shared" si="26"/>
        <v>0.91072166666666665</v>
      </c>
      <c r="P293">
        <f t="shared" si="27"/>
        <v>100</v>
      </c>
      <c r="Q293" s="6">
        <f t="shared" si="28"/>
        <v>8980</v>
      </c>
      <c r="R293" s="6">
        <f t="shared" si="29"/>
        <v>91.072166666666661</v>
      </c>
      <c r="S293" t="str">
        <f t="shared" si="30"/>
        <v>Alerta</v>
      </c>
    </row>
    <row r="294" spans="1:19" x14ac:dyDescent="0.3">
      <c r="A294" t="s">
        <v>317</v>
      </c>
      <c r="B294" t="s">
        <v>14</v>
      </c>
      <c r="C294" s="5">
        <f>VLOOKUP(A294,Dim!A:B,2,0)</f>
        <v>65.77</v>
      </c>
      <c r="D294" s="1">
        <v>-3.3999999999999998E-3</v>
      </c>
      <c r="E294" s="1">
        <v>4.19E-2</v>
      </c>
      <c r="F294">
        <v>1.7</v>
      </c>
      <c r="G294" s="2">
        <v>194671000</v>
      </c>
      <c r="H294" s="2">
        <v>84387</v>
      </c>
      <c r="I294">
        <v>0</v>
      </c>
      <c r="J294">
        <v>0</v>
      </c>
      <c r="K294">
        <v>0</v>
      </c>
      <c r="L294" s="1">
        <v>0</v>
      </c>
      <c r="M294" s="1">
        <v>0</v>
      </c>
      <c r="N294" s="4">
        <f t="shared" si="25"/>
        <v>3.4916666666666668E-3</v>
      </c>
      <c r="O294" s="5">
        <f t="shared" si="26"/>
        <v>0.22964691666666667</v>
      </c>
      <c r="P294">
        <f t="shared" si="27"/>
        <v>288</v>
      </c>
      <c r="Q294" s="6">
        <f t="shared" si="28"/>
        <v>18941.759999999998</v>
      </c>
      <c r="R294" s="6">
        <f t="shared" si="29"/>
        <v>66.138311999999999</v>
      </c>
      <c r="S294" t="str">
        <f t="shared" si="30"/>
        <v>Alerta</v>
      </c>
    </row>
    <row r="295" spans="1:19" x14ac:dyDescent="0.3">
      <c r="A295" t="s">
        <v>43</v>
      </c>
      <c r="B295" t="s">
        <v>14</v>
      </c>
      <c r="C295" s="5">
        <f>VLOOKUP(A295,Dim!A:B,2,0)</f>
        <v>0</v>
      </c>
      <c r="D295" s="1">
        <v>6.2700000000000006E-2</v>
      </c>
      <c r="E295" s="1">
        <v>0</v>
      </c>
      <c r="F295">
        <v>0.41</v>
      </c>
      <c r="G295" s="2">
        <v>70113800</v>
      </c>
      <c r="H295">
        <v>518</v>
      </c>
      <c r="I295">
        <v>3</v>
      </c>
      <c r="J295" s="3">
        <v>4554.1499999999996</v>
      </c>
      <c r="K295">
        <v>766.71</v>
      </c>
      <c r="L295" s="1">
        <v>0.16839999999999999</v>
      </c>
      <c r="M295" s="1">
        <v>0</v>
      </c>
      <c r="N295" s="4">
        <f t="shared" si="25"/>
        <v>0</v>
      </c>
      <c r="O295" s="5">
        <f t="shared" si="26"/>
        <v>0</v>
      </c>
      <c r="P295" t="e">
        <f t="shared" si="27"/>
        <v>#DIV/0!</v>
      </c>
      <c r="Q295" s="6" t="e">
        <f t="shared" si="28"/>
        <v>#DIV/0!</v>
      </c>
      <c r="R295" s="6" t="e">
        <f t="shared" si="29"/>
        <v>#DIV/0!</v>
      </c>
      <c r="S295" t="str">
        <f t="shared" si="30"/>
        <v>Bom</v>
      </c>
    </row>
    <row r="296" spans="1:19" x14ac:dyDescent="0.3">
      <c r="A296" t="s">
        <v>49</v>
      </c>
      <c r="B296" t="s">
        <v>14</v>
      </c>
      <c r="C296" s="5">
        <f>VLOOKUP(A296,Dim!A:B,2,0)</f>
        <v>0</v>
      </c>
      <c r="D296" s="1">
        <v>0.13789999999999999</v>
      </c>
      <c r="E296" s="1">
        <v>0.12670000000000001</v>
      </c>
      <c r="F296">
        <v>1.01</v>
      </c>
      <c r="G296" s="2">
        <v>367028000</v>
      </c>
      <c r="H296">
        <v>0</v>
      </c>
      <c r="I296">
        <v>1</v>
      </c>
      <c r="J296">
        <v>0</v>
      </c>
      <c r="K296">
        <v>0</v>
      </c>
      <c r="L296" s="1">
        <v>0</v>
      </c>
      <c r="M296" s="1">
        <v>0</v>
      </c>
      <c r="N296" s="4">
        <f t="shared" si="25"/>
        <v>1.0558333333333334E-2</v>
      </c>
      <c r="O296" s="5">
        <f t="shared" si="26"/>
        <v>0</v>
      </c>
      <c r="P296" t="e">
        <f t="shared" si="27"/>
        <v>#DIV/0!</v>
      </c>
      <c r="Q296" s="6" t="e">
        <f t="shared" si="28"/>
        <v>#DIV/0!</v>
      </c>
      <c r="R296" s="6" t="e">
        <f t="shared" si="29"/>
        <v>#DIV/0!</v>
      </c>
      <c r="S296" t="str">
        <f t="shared" si="30"/>
        <v>Bom</v>
      </c>
    </row>
    <row r="297" spans="1:19" x14ac:dyDescent="0.3">
      <c r="A297" t="s">
        <v>54</v>
      </c>
      <c r="B297" t="s">
        <v>28</v>
      </c>
      <c r="C297" s="5">
        <f>VLOOKUP(A297,Dim!A:B,2,0)</f>
        <v>0</v>
      </c>
      <c r="D297" s="1">
        <v>0.1042</v>
      </c>
      <c r="E297" s="1">
        <v>0</v>
      </c>
      <c r="F297">
        <v>0.95</v>
      </c>
      <c r="G297" s="2">
        <v>1540230000</v>
      </c>
      <c r="H297">
        <v>0</v>
      </c>
      <c r="I297">
        <v>61</v>
      </c>
      <c r="J297" s="3">
        <v>3690.03</v>
      </c>
      <c r="K297">
        <v>479.56</v>
      </c>
      <c r="L297" s="1">
        <v>0.13</v>
      </c>
      <c r="M297" s="1">
        <v>1.44E-2</v>
      </c>
      <c r="N297" s="4">
        <f t="shared" si="25"/>
        <v>0</v>
      </c>
      <c r="O297" s="5">
        <f t="shared" si="26"/>
        <v>0</v>
      </c>
      <c r="P297" t="e">
        <f t="shared" si="27"/>
        <v>#DIV/0!</v>
      </c>
      <c r="Q297" s="6" t="e">
        <f t="shared" si="28"/>
        <v>#DIV/0!</v>
      </c>
      <c r="R297" s="6" t="e">
        <f t="shared" si="29"/>
        <v>#DIV/0!</v>
      </c>
      <c r="S297" t="str">
        <f t="shared" si="30"/>
        <v>Bom</v>
      </c>
    </row>
    <row r="298" spans="1:19" x14ac:dyDescent="0.3">
      <c r="A298" t="s">
        <v>56</v>
      </c>
      <c r="B298" t="s">
        <v>28</v>
      </c>
      <c r="C298" s="5">
        <f>VLOOKUP(A298,Dim!A:B,2,0)</f>
        <v>0</v>
      </c>
      <c r="D298" s="1">
        <v>2.23E-2</v>
      </c>
      <c r="E298" s="1">
        <v>0</v>
      </c>
      <c r="F298">
        <v>0.86</v>
      </c>
      <c r="G298" s="2">
        <v>197789000</v>
      </c>
      <c r="H298">
        <v>0</v>
      </c>
      <c r="I298">
        <v>1</v>
      </c>
      <c r="J298" s="3">
        <v>10225.299999999999</v>
      </c>
      <c r="K298">
        <v>570.89</v>
      </c>
      <c r="L298" s="1">
        <v>5.5800000000000002E-2</v>
      </c>
      <c r="M298" s="1">
        <v>0.437</v>
      </c>
      <c r="N298" s="4">
        <f t="shared" si="25"/>
        <v>0</v>
      </c>
      <c r="O298" s="5">
        <f t="shared" si="26"/>
        <v>0</v>
      </c>
      <c r="P298" t="e">
        <f t="shared" si="27"/>
        <v>#DIV/0!</v>
      </c>
      <c r="Q298" s="6" t="e">
        <f t="shared" si="28"/>
        <v>#DIV/0!</v>
      </c>
      <c r="R298" s="6" t="e">
        <f t="shared" si="29"/>
        <v>#DIV/0!</v>
      </c>
      <c r="S298" t="str">
        <f t="shared" si="30"/>
        <v>Bom</v>
      </c>
    </row>
    <row r="299" spans="1:19" x14ac:dyDescent="0.3">
      <c r="A299" t="s">
        <v>57</v>
      </c>
      <c r="B299" t="s">
        <v>23</v>
      </c>
      <c r="C299" s="5">
        <f>VLOOKUP(A299,Dim!A:B,2,0)</f>
        <v>0</v>
      </c>
      <c r="D299" s="1">
        <v>8.0600000000000005E-2</v>
      </c>
      <c r="E299" s="1">
        <v>1.9099999999999999E-2</v>
      </c>
      <c r="F299">
        <v>0.84</v>
      </c>
      <c r="G299" s="2">
        <v>1480960000</v>
      </c>
      <c r="H299">
        <v>0</v>
      </c>
      <c r="I299">
        <v>0</v>
      </c>
      <c r="J299">
        <v>0</v>
      </c>
      <c r="K299">
        <v>0</v>
      </c>
      <c r="L299" s="1">
        <v>0</v>
      </c>
      <c r="M299" s="1">
        <v>0</v>
      </c>
      <c r="N299" s="4">
        <f t="shared" si="25"/>
        <v>1.5916666666666666E-3</v>
      </c>
      <c r="O299" s="5">
        <f t="shared" si="26"/>
        <v>0</v>
      </c>
      <c r="P299" t="e">
        <f t="shared" si="27"/>
        <v>#DIV/0!</v>
      </c>
      <c r="Q299" s="6" t="e">
        <f t="shared" si="28"/>
        <v>#DIV/0!</v>
      </c>
      <c r="R299" s="6" t="e">
        <f t="shared" si="29"/>
        <v>#DIV/0!</v>
      </c>
      <c r="S299" t="str">
        <f t="shared" si="30"/>
        <v>Bom</v>
      </c>
    </row>
    <row r="300" spans="1:19" x14ac:dyDescent="0.3">
      <c r="A300" t="s">
        <v>62</v>
      </c>
      <c r="B300" t="s">
        <v>23</v>
      </c>
      <c r="C300" s="5">
        <f>VLOOKUP(A300,Dim!A:B,2,0)</f>
        <v>0</v>
      </c>
      <c r="D300" s="1">
        <v>0.1426</v>
      </c>
      <c r="E300" s="1">
        <v>6.4199999999999993E-2</v>
      </c>
      <c r="F300">
        <v>0.86</v>
      </c>
      <c r="G300" s="2">
        <v>17960000</v>
      </c>
      <c r="H300">
        <v>0</v>
      </c>
      <c r="I300">
        <v>0</v>
      </c>
      <c r="J300">
        <v>0</v>
      </c>
      <c r="K300">
        <v>0</v>
      </c>
      <c r="L300" s="1">
        <v>0</v>
      </c>
      <c r="M300" s="1">
        <v>0</v>
      </c>
      <c r="N300" s="4">
        <f t="shared" si="25"/>
        <v>5.3499999999999997E-3</v>
      </c>
      <c r="O300" s="5">
        <f t="shared" si="26"/>
        <v>0</v>
      </c>
      <c r="P300" t="e">
        <f t="shared" si="27"/>
        <v>#DIV/0!</v>
      </c>
      <c r="Q300" s="6" t="e">
        <f t="shared" si="28"/>
        <v>#DIV/0!</v>
      </c>
      <c r="R300" s="6" t="e">
        <f t="shared" si="29"/>
        <v>#DIV/0!</v>
      </c>
      <c r="S300" t="str">
        <f t="shared" si="30"/>
        <v>Bom</v>
      </c>
    </row>
    <row r="301" spans="1:19" x14ac:dyDescent="0.3">
      <c r="A301" t="s">
        <v>324</v>
      </c>
      <c r="B301" t="s">
        <v>19</v>
      </c>
      <c r="C301" s="5">
        <f>VLOOKUP(A301,Dim!A:B,2,0)</f>
        <v>76.900000000000006</v>
      </c>
      <c r="D301" s="1">
        <v>2.92E-2</v>
      </c>
      <c r="E301" s="1">
        <v>0.1716</v>
      </c>
      <c r="F301">
        <v>0.74</v>
      </c>
      <c r="G301" s="2">
        <v>457018000</v>
      </c>
      <c r="H301" s="2">
        <v>1126090</v>
      </c>
      <c r="I301">
        <v>3</v>
      </c>
      <c r="J301" s="3">
        <v>7867.55</v>
      </c>
      <c r="K301">
        <v>0</v>
      </c>
      <c r="L301" s="1">
        <v>0</v>
      </c>
      <c r="M301" s="1">
        <v>0</v>
      </c>
      <c r="N301" s="4">
        <f t="shared" si="25"/>
        <v>1.43E-2</v>
      </c>
      <c r="O301" s="5">
        <f t="shared" si="26"/>
        <v>1.0996700000000001</v>
      </c>
      <c r="P301">
        <f t="shared" si="27"/>
        <v>71</v>
      </c>
      <c r="Q301" s="6">
        <f t="shared" si="28"/>
        <v>5459.9000000000005</v>
      </c>
      <c r="R301" s="6">
        <f t="shared" si="29"/>
        <v>78.076570000000004</v>
      </c>
      <c r="S301" t="str">
        <f t="shared" si="30"/>
        <v>Alerta</v>
      </c>
    </row>
    <row r="302" spans="1:19" x14ac:dyDescent="0.3">
      <c r="A302" t="s">
        <v>66</v>
      </c>
      <c r="B302" t="s">
        <v>47</v>
      </c>
      <c r="C302" s="5">
        <f>VLOOKUP(A302,Dim!A:B,2,0)</f>
        <v>0</v>
      </c>
      <c r="D302" s="1">
        <v>5.4100000000000002E-2</v>
      </c>
      <c r="E302" s="1">
        <v>0</v>
      </c>
      <c r="F302">
        <v>0.81</v>
      </c>
      <c r="G302" s="2">
        <v>208962000</v>
      </c>
      <c r="H302">
        <v>0</v>
      </c>
      <c r="I302">
        <v>2</v>
      </c>
      <c r="J302" s="3">
        <v>3014.16</v>
      </c>
      <c r="K302">
        <v>199.89</v>
      </c>
      <c r="L302" s="1">
        <v>6.6299999999999998E-2</v>
      </c>
      <c r="M302" s="1">
        <v>0</v>
      </c>
      <c r="N302" s="4">
        <f t="shared" si="25"/>
        <v>0</v>
      </c>
      <c r="O302" s="5">
        <f t="shared" si="26"/>
        <v>0</v>
      </c>
      <c r="P302" t="e">
        <f t="shared" si="27"/>
        <v>#DIV/0!</v>
      </c>
      <c r="Q302" s="6" t="e">
        <f t="shared" si="28"/>
        <v>#DIV/0!</v>
      </c>
      <c r="R302" s="6" t="e">
        <f t="shared" si="29"/>
        <v>#DIV/0!</v>
      </c>
      <c r="S302" t="str">
        <f t="shared" si="30"/>
        <v>Bom</v>
      </c>
    </row>
    <row r="303" spans="1:19" x14ac:dyDescent="0.3">
      <c r="A303" t="s">
        <v>67</v>
      </c>
      <c r="B303" t="s">
        <v>23</v>
      </c>
      <c r="C303" s="5">
        <f>VLOOKUP(A303,Dim!A:B,2,0)</f>
        <v>0</v>
      </c>
      <c r="D303" s="1">
        <v>0.111</v>
      </c>
      <c r="E303" s="1">
        <v>0</v>
      </c>
      <c r="F303">
        <v>0.91</v>
      </c>
      <c r="G303" s="2">
        <v>34257100</v>
      </c>
      <c r="H303">
        <v>0</v>
      </c>
      <c r="I303">
        <v>0</v>
      </c>
      <c r="J303">
        <v>0</v>
      </c>
      <c r="K303">
        <v>0</v>
      </c>
      <c r="L303" s="1">
        <v>0</v>
      </c>
      <c r="M303" s="1">
        <v>0</v>
      </c>
      <c r="N303" s="4">
        <f t="shared" si="25"/>
        <v>0</v>
      </c>
      <c r="O303" s="5">
        <f t="shared" si="26"/>
        <v>0</v>
      </c>
      <c r="P303" t="e">
        <f t="shared" si="27"/>
        <v>#DIV/0!</v>
      </c>
      <c r="Q303" s="6" t="e">
        <f t="shared" si="28"/>
        <v>#DIV/0!</v>
      </c>
      <c r="R303" s="6" t="e">
        <f t="shared" si="29"/>
        <v>#DIV/0!</v>
      </c>
      <c r="S303" t="str">
        <f t="shared" si="30"/>
        <v>Bom</v>
      </c>
    </row>
    <row r="304" spans="1:19" x14ac:dyDescent="0.3">
      <c r="A304" t="s">
        <v>70</v>
      </c>
      <c r="B304" t="s">
        <v>23</v>
      </c>
      <c r="C304" s="5">
        <f>VLOOKUP(A304,Dim!A:B,2,0)</f>
        <v>0</v>
      </c>
      <c r="D304" s="1">
        <v>0.1017</v>
      </c>
      <c r="E304" s="1">
        <v>0</v>
      </c>
      <c r="F304">
        <v>0.84</v>
      </c>
      <c r="G304" s="2">
        <v>173172000</v>
      </c>
      <c r="H304">
        <v>0</v>
      </c>
      <c r="I304">
        <v>0</v>
      </c>
      <c r="J304">
        <v>0</v>
      </c>
      <c r="K304">
        <v>0</v>
      </c>
      <c r="L304" s="1">
        <v>0</v>
      </c>
      <c r="M304" s="1">
        <v>0</v>
      </c>
      <c r="N304" s="4">
        <f t="shared" si="25"/>
        <v>0</v>
      </c>
      <c r="O304" s="5">
        <f t="shared" si="26"/>
        <v>0</v>
      </c>
      <c r="P304" t="e">
        <f t="shared" si="27"/>
        <v>#DIV/0!</v>
      </c>
      <c r="Q304" s="6" t="e">
        <f t="shared" si="28"/>
        <v>#DIV/0!</v>
      </c>
      <c r="R304" s="6" t="e">
        <f t="shared" si="29"/>
        <v>#DIV/0!</v>
      </c>
      <c r="S304" t="str">
        <f t="shared" si="30"/>
        <v>Bom</v>
      </c>
    </row>
    <row r="305" spans="1:19" x14ac:dyDescent="0.3">
      <c r="A305" t="s">
        <v>72</v>
      </c>
      <c r="B305" t="s">
        <v>23</v>
      </c>
      <c r="C305" s="5">
        <f>VLOOKUP(A305,Dim!A:B,2,0)</f>
        <v>0</v>
      </c>
      <c r="D305" s="1">
        <v>0.10059999999999999</v>
      </c>
      <c r="E305" s="1">
        <v>0.06</v>
      </c>
      <c r="F305">
        <v>0.99</v>
      </c>
      <c r="G305" s="2">
        <v>6842700</v>
      </c>
      <c r="H305">
        <v>0</v>
      </c>
      <c r="I305">
        <v>0</v>
      </c>
      <c r="J305">
        <v>0</v>
      </c>
      <c r="K305">
        <v>0</v>
      </c>
      <c r="L305" s="1">
        <v>0</v>
      </c>
      <c r="M305" s="1">
        <v>0</v>
      </c>
      <c r="N305" s="4">
        <f t="shared" si="25"/>
        <v>5.0000000000000001E-3</v>
      </c>
      <c r="O305" s="5">
        <f t="shared" si="26"/>
        <v>0</v>
      </c>
      <c r="P305" t="e">
        <f t="shared" si="27"/>
        <v>#DIV/0!</v>
      </c>
      <c r="Q305" s="6" t="e">
        <f t="shared" si="28"/>
        <v>#DIV/0!</v>
      </c>
      <c r="R305" s="6" t="e">
        <f t="shared" si="29"/>
        <v>#DIV/0!</v>
      </c>
      <c r="S305" t="str">
        <f t="shared" si="30"/>
        <v>Bom</v>
      </c>
    </row>
    <row r="306" spans="1:19" x14ac:dyDescent="0.3">
      <c r="A306" t="s">
        <v>77</v>
      </c>
      <c r="B306" t="s">
        <v>14</v>
      </c>
      <c r="C306" s="5">
        <f>VLOOKUP(A306,Dim!A:B,2,0)</f>
        <v>0</v>
      </c>
      <c r="D306" s="1">
        <v>0.1056</v>
      </c>
      <c r="E306" s="1">
        <v>0</v>
      </c>
      <c r="F306">
        <v>0.86</v>
      </c>
      <c r="G306" s="2">
        <v>145107000</v>
      </c>
      <c r="H306">
        <v>0</v>
      </c>
      <c r="I306">
        <v>1</v>
      </c>
      <c r="J306" s="3">
        <v>6230.68</v>
      </c>
      <c r="K306">
        <v>692.07</v>
      </c>
      <c r="L306" s="1">
        <v>0.1111</v>
      </c>
      <c r="M306" s="1">
        <v>0</v>
      </c>
      <c r="N306" s="4">
        <f t="shared" si="25"/>
        <v>0</v>
      </c>
      <c r="O306" s="5">
        <f t="shared" si="26"/>
        <v>0</v>
      </c>
      <c r="P306" t="e">
        <f t="shared" si="27"/>
        <v>#DIV/0!</v>
      </c>
      <c r="Q306" s="6" t="e">
        <f t="shared" si="28"/>
        <v>#DIV/0!</v>
      </c>
      <c r="R306" s="6" t="e">
        <f t="shared" si="29"/>
        <v>#DIV/0!</v>
      </c>
      <c r="S306" t="str">
        <f t="shared" si="30"/>
        <v>Bom</v>
      </c>
    </row>
    <row r="307" spans="1:19" x14ac:dyDescent="0.3">
      <c r="A307" t="s">
        <v>80</v>
      </c>
      <c r="B307" t="s">
        <v>81</v>
      </c>
      <c r="C307" s="5">
        <f>VLOOKUP(A307,Dim!A:B,2,0)</f>
        <v>0</v>
      </c>
      <c r="D307" s="1">
        <v>6.59E-2</v>
      </c>
      <c r="E307" s="1">
        <v>0</v>
      </c>
      <c r="F307">
        <v>0</v>
      </c>
      <c r="G307" s="2">
        <v>101556000</v>
      </c>
      <c r="H307">
        <v>0</v>
      </c>
      <c r="I307">
        <v>13</v>
      </c>
      <c r="J307">
        <v>0</v>
      </c>
      <c r="K307" s="3">
        <v>1437.55</v>
      </c>
      <c r="L307" s="1">
        <v>0</v>
      </c>
      <c r="M307" s="1">
        <v>0</v>
      </c>
      <c r="N307" s="4">
        <f t="shared" si="25"/>
        <v>0</v>
      </c>
      <c r="O307" s="5">
        <f t="shared" si="26"/>
        <v>0</v>
      </c>
      <c r="P307" t="e">
        <f t="shared" si="27"/>
        <v>#DIV/0!</v>
      </c>
      <c r="Q307" s="6" t="e">
        <f t="shared" si="28"/>
        <v>#DIV/0!</v>
      </c>
      <c r="R307" s="6" t="e">
        <f t="shared" si="29"/>
        <v>#DIV/0!</v>
      </c>
      <c r="S307" t="str">
        <f t="shared" si="30"/>
        <v>Bom</v>
      </c>
    </row>
    <row r="308" spans="1:19" x14ac:dyDescent="0.3">
      <c r="A308" t="s">
        <v>84</v>
      </c>
      <c r="B308" t="s">
        <v>47</v>
      </c>
      <c r="C308" s="5">
        <f>VLOOKUP(A308,Dim!A:B,2,0)</f>
        <v>0</v>
      </c>
      <c r="D308" s="1">
        <v>7.7299999999999994E-2</v>
      </c>
      <c r="E308" s="1">
        <v>5.33E-2</v>
      </c>
      <c r="F308">
        <v>0.89</v>
      </c>
      <c r="G308" s="2">
        <v>724795000</v>
      </c>
      <c r="H308">
        <v>0</v>
      </c>
      <c r="I308">
        <v>10</v>
      </c>
      <c r="J308" s="3">
        <v>1083.5999999999999</v>
      </c>
      <c r="K308">
        <v>86.3</v>
      </c>
      <c r="L308" s="1">
        <v>7.9600000000000004E-2</v>
      </c>
      <c r="M308" s="1">
        <v>0</v>
      </c>
      <c r="N308" s="4">
        <f t="shared" si="25"/>
        <v>4.4416666666666667E-3</v>
      </c>
      <c r="O308" s="5">
        <f t="shared" si="26"/>
        <v>0</v>
      </c>
      <c r="P308" t="e">
        <f t="shared" si="27"/>
        <v>#DIV/0!</v>
      </c>
      <c r="Q308" s="6" t="e">
        <f t="shared" si="28"/>
        <v>#DIV/0!</v>
      </c>
      <c r="R308" s="6" t="e">
        <f t="shared" si="29"/>
        <v>#DIV/0!</v>
      </c>
      <c r="S308" t="str">
        <f t="shared" si="30"/>
        <v>Bom</v>
      </c>
    </row>
    <row r="309" spans="1:19" x14ac:dyDescent="0.3">
      <c r="A309" t="s">
        <v>88</v>
      </c>
      <c r="B309" t="s">
        <v>23</v>
      </c>
      <c r="C309" s="5">
        <f>VLOOKUP(A309,Dim!A:B,2,0)</f>
        <v>0</v>
      </c>
      <c r="D309" s="1">
        <v>0.12479999999999999</v>
      </c>
      <c r="E309" s="1">
        <v>0</v>
      </c>
      <c r="F309">
        <v>0.92</v>
      </c>
      <c r="G309" s="2">
        <v>423289000</v>
      </c>
      <c r="H309">
        <v>0</v>
      </c>
      <c r="I309">
        <v>0</v>
      </c>
      <c r="J309">
        <v>0</v>
      </c>
      <c r="K309">
        <v>0</v>
      </c>
      <c r="L309" s="1">
        <v>0</v>
      </c>
      <c r="M309" s="1">
        <v>0</v>
      </c>
      <c r="N309" s="4">
        <f t="shared" si="25"/>
        <v>0</v>
      </c>
      <c r="O309" s="5">
        <f t="shared" si="26"/>
        <v>0</v>
      </c>
      <c r="P309" t="e">
        <f t="shared" si="27"/>
        <v>#DIV/0!</v>
      </c>
      <c r="Q309" s="6" t="e">
        <f t="shared" si="28"/>
        <v>#DIV/0!</v>
      </c>
      <c r="R309" s="6" t="e">
        <f t="shared" si="29"/>
        <v>#DIV/0!</v>
      </c>
      <c r="S309" t="str">
        <f t="shared" si="30"/>
        <v>Bom</v>
      </c>
    </row>
    <row r="310" spans="1:19" x14ac:dyDescent="0.3">
      <c r="A310" t="s">
        <v>104</v>
      </c>
      <c r="B310" t="s">
        <v>23</v>
      </c>
      <c r="C310" s="5">
        <f>VLOOKUP(A310,Dim!A:B,2,0)</f>
        <v>0</v>
      </c>
      <c r="D310" s="1">
        <v>7.1599999999999997E-2</v>
      </c>
      <c r="E310" s="1">
        <v>0</v>
      </c>
      <c r="F310">
        <v>0.95</v>
      </c>
      <c r="G310" s="2">
        <v>145401000</v>
      </c>
      <c r="H310">
        <v>0</v>
      </c>
      <c r="I310">
        <v>0</v>
      </c>
      <c r="J310">
        <v>0</v>
      </c>
      <c r="K310">
        <v>0</v>
      </c>
      <c r="L310" s="1">
        <v>0</v>
      </c>
      <c r="M310" s="1">
        <v>0</v>
      </c>
      <c r="N310" s="4">
        <f t="shared" si="25"/>
        <v>0</v>
      </c>
      <c r="O310" s="5">
        <f t="shared" si="26"/>
        <v>0</v>
      </c>
      <c r="P310" t="e">
        <f t="shared" si="27"/>
        <v>#DIV/0!</v>
      </c>
      <c r="Q310" s="6" t="e">
        <f t="shared" si="28"/>
        <v>#DIV/0!</v>
      </c>
      <c r="R310" s="6" t="e">
        <f t="shared" si="29"/>
        <v>#DIV/0!</v>
      </c>
      <c r="S310" t="str">
        <f t="shared" si="30"/>
        <v>Bom</v>
      </c>
    </row>
    <row r="311" spans="1:19" x14ac:dyDescent="0.3">
      <c r="A311" t="s">
        <v>113</v>
      </c>
      <c r="B311" t="s">
        <v>14</v>
      </c>
      <c r="C311" s="5">
        <f>VLOOKUP(A311,Dim!A:B,2,0)</f>
        <v>0</v>
      </c>
      <c r="D311" s="1">
        <v>4.99E-2</v>
      </c>
      <c r="E311" s="1">
        <v>0</v>
      </c>
      <c r="F311">
        <v>0.94</v>
      </c>
      <c r="G311" s="2">
        <v>290462000</v>
      </c>
      <c r="H311">
        <v>0</v>
      </c>
      <c r="I311">
        <v>3</v>
      </c>
      <c r="J311">
        <v>5.42</v>
      </c>
      <c r="K311">
        <v>0.25</v>
      </c>
      <c r="L311" s="1">
        <v>4.6300000000000001E-2</v>
      </c>
      <c r="M311" s="1">
        <v>0.18</v>
      </c>
      <c r="N311" s="4">
        <f t="shared" si="25"/>
        <v>0</v>
      </c>
      <c r="O311" s="5">
        <f t="shared" si="26"/>
        <v>0</v>
      </c>
      <c r="P311" t="e">
        <f t="shared" si="27"/>
        <v>#DIV/0!</v>
      </c>
      <c r="Q311" s="6" t="e">
        <f t="shared" si="28"/>
        <v>#DIV/0!</v>
      </c>
      <c r="R311" s="6" t="e">
        <f t="shared" si="29"/>
        <v>#DIV/0!</v>
      </c>
      <c r="S311" t="str">
        <f t="shared" si="30"/>
        <v>Bom</v>
      </c>
    </row>
    <row r="312" spans="1:19" x14ac:dyDescent="0.3">
      <c r="A312" t="s">
        <v>335</v>
      </c>
      <c r="B312" t="s">
        <v>19</v>
      </c>
      <c r="C312" s="5">
        <f>VLOOKUP(A312,Dim!A:B,2,0)</f>
        <v>1100</v>
      </c>
      <c r="D312" s="1">
        <v>-5.8099999999999999E-2</v>
      </c>
      <c r="E312" s="1">
        <v>0</v>
      </c>
      <c r="F312">
        <v>3.04</v>
      </c>
      <c r="G312" s="2">
        <v>56908500</v>
      </c>
      <c r="H312" s="2">
        <v>31118</v>
      </c>
      <c r="I312">
        <v>0</v>
      </c>
      <c r="J312">
        <v>0</v>
      </c>
      <c r="K312">
        <v>0</v>
      </c>
      <c r="L312" s="1">
        <v>0</v>
      </c>
      <c r="M312" s="1">
        <v>0</v>
      </c>
      <c r="N312" s="4">
        <f t="shared" si="25"/>
        <v>0</v>
      </c>
      <c r="O312" s="5">
        <f t="shared" si="26"/>
        <v>0</v>
      </c>
      <c r="P312" t="e">
        <f t="shared" si="27"/>
        <v>#DIV/0!</v>
      </c>
      <c r="Q312" s="6" t="e">
        <f t="shared" si="28"/>
        <v>#DIV/0!</v>
      </c>
      <c r="R312" s="6" t="e">
        <f t="shared" si="29"/>
        <v>#DIV/0!</v>
      </c>
      <c r="S312" t="str">
        <f t="shared" si="30"/>
        <v>Alerta</v>
      </c>
    </row>
    <row r="313" spans="1:19" x14ac:dyDescent="0.3">
      <c r="A313" t="s">
        <v>336</v>
      </c>
      <c r="B313" t="s">
        <v>14</v>
      </c>
      <c r="C313" s="5">
        <f>VLOOKUP(A313,Dim!A:B,2,0)</f>
        <v>69</v>
      </c>
      <c r="D313" s="1">
        <v>0.1333</v>
      </c>
      <c r="E313" s="1">
        <v>0.12920000000000001</v>
      </c>
      <c r="F313">
        <v>0.8</v>
      </c>
      <c r="G313" s="2">
        <v>42774000</v>
      </c>
      <c r="H313" s="2">
        <v>33613</v>
      </c>
      <c r="I313">
        <v>0</v>
      </c>
      <c r="J313">
        <v>0</v>
      </c>
      <c r="K313">
        <v>0</v>
      </c>
      <c r="L313" s="1">
        <v>0</v>
      </c>
      <c r="M313" s="1">
        <v>0</v>
      </c>
      <c r="N313" s="4">
        <f t="shared" si="25"/>
        <v>1.0766666666666667E-2</v>
      </c>
      <c r="O313" s="5">
        <f t="shared" si="26"/>
        <v>0.7429</v>
      </c>
      <c r="P313">
        <f t="shared" si="27"/>
        <v>94</v>
      </c>
      <c r="Q313" s="6">
        <f t="shared" si="28"/>
        <v>6486</v>
      </c>
      <c r="R313" s="6">
        <f t="shared" si="29"/>
        <v>69.832599999999999</v>
      </c>
      <c r="S313" t="str">
        <f t="shared" si="30"/>
        <v>Bom</v>
      </c>
    </row>
    <row r="314" spans="1:19" x14ac:dyDescent="0.3">
      <c r="A314" t="s">
        <v>137</v>
      </c>
      <c r="B314" t="s">
        <v>37</v>
      </c>
      <c r="C314" s="5">
        <f>VLOOKUP(A314,Dim!A:B,2,0)</f>
        <v>0</v>
      </c>
      <c r="D314" s="1">
        <v>-7.585</v>
      </c>
      <c r="E314" s="1">
        <v>0</v>
      </c>
      <c r="F314">
        <v>2.61</v>
      </c>
      <c r="G314" s="2">
        <v>2029400</v>
      </c>
      <c r="H314">
        <v>0</v>
      </c>
      <c r="I314">
        <v>0</v>
      </c>
      <c r="J314">
        <v>0</v>
      </c>
      <c r="K314">
        <v>0</v>
      </c>
      <c r="L314" s="1">
        <v>0</v>
      </c>
      <c r="M314" s="1">
        <v>0</v>
      </c>
      <c r="N314" s="4">
        <f t="shared" si="25"/>
        <v>0</v>
      </c>
      <c r="O314" s="5">
        <f t="shared" si="26"/>
        <v>0</v>
      </c>
      <c r="P314" t="e">
        <f t="shared" si="27"/>
        <v>#DIV/0!</v>
      </c>
      <c r="Q314" s="6" t="e">
        <f t="shared" si="28"/>
        <v>#DIV/0!</v>
      </c>
      <c r="R314" s="6" t="e">
        <f t="shared" si="29"/>
        <v>#DIV/0!</v>
      </c>
      <c r="S314" t="str">
        <f t="shared" si="30"/>
        <v>Alerta</v>
      </c>
    </row>
    <row r="315" spans="1:19" x14ac:dyDescent="0.3">
      <c r="A315" t="s">
        <v>114</v>
      </c>
      <c r="B315" t="s">
        <v>14</v>
      </c>
      <c r="C315" s="5">
        <f>VLOOKUP(A315,Dim!A:B,2,0)</f>
        <v>0</v>
      </c>
      <c r="D315" s="1">
        <v>4.5699999999999998E-2</v>
      </c>
      <c r="E315" s="1">
        <v>0</v>
      </c>
      <c r="F315">
        <v>0.85</v>
      </c>
      <c r="G315" s="2">
        <v>87581800</v>
      </c>
      <c r="H315">
        <v>0</v>
      </c>
      <c r="I315">
        <v>3</v>
      </c>
      <c r="J315" s="3">
        <v>7193.96</v>
      </c>
      <c r="K315">
        <v>755.12</v>
      </c>
      <c r="L315" s="1">
        <v>0.105</v>
      </c>
      <c r="M315" s="1">
        <v>0</v>
      </c>
      <c r="N315" s="4">
        <f t="shared" si="25"/>
        <v>0</v>
      </c>
      <c r="O315" s="5">
        <f t="shared" si="26"/>
        <v>0</v>
      </c>
      <c r="P315" t="e">
        <f t="shared" si="27"/>
        <v>#DIV/0!</v>
      </c>
      <c r="Q315" s="6" t="e">
        <f t="shared" si="28"/>
        <v>#DIV/0!</v>
      </c>
      <c r="R315" s="6" t="e">
        <f t="shared" si="29"/>
        <v>#DIV/0!</v>
      </c>
      <c r="S315" t="str">
        <f t="shared" si="30"/>
        <v>Bom</v>
      </c>
    </row>
    <row r="316" spans="1:19" x14ac:dyDescent="0.3">
      <c r="A316" t="s">
        <v>115</v>
      </c>
      <c r="B316" t="s">
        <v>23</v>
      </c>
      <c r="C316" s="5">
        <f>VLOOKUP(A316,Dim!A:B,2,0)</f>
        <v>0</v>
      </c>
      <c r="D316" s="1">
        <v>0.1807</v>
      </c>
      <c r="E316" s="1">
        <v>3.2899999999999999E-2</v>
      </c>
      <c r="F316">
        <v>1.1200000000000001</v>
      </c>
      <c r="G316" s="2">
        <v>75470800</v>
      </c>
      <c r="H316">
        <v>0</v>
      </c>
      <c r="I316">
        <v>0</v>
      </c>
      <c r="J316">
        <v>0</v>
      </c>
      <c r="K316">
        <v>0</v>
      </c>
      <c r="L316" s="1">
        <v>0</v>
      </c>
      <c r="M316" s="1">
        <v>0</v>
      </c>
      <c r="N316" s="4">
        <f t="shared" si="25"/>
        <v>2.7416666666666666E-3</v>
      </c>
      <c r="O316" s="5">
        <f t="shared" si="26"/>
        <v>0</v>
      </c>
      <c r="P316" t="e">
        <f t="shared" si="27"/>
        <v>#DIV/0!</v>
      </c>
      <c r="Q316" s="6" t="e">
        <f t="shared" si="28"/>
        <v>#DIV/0!</v>
      </c>
      <c r="R316" s="6" t="e">
        <f t="shared" si="29"/>
        <v>#DIV/0!</v>
      </c>
      <c r="S316" t="str">
        <f t="shared" si="30"/>
        <v>Bom</v>
      </c>
    </row>
    <row r="317" spans="1:19" x14ac:dyDescent="0.3">
      <c r="A317" t="s">
        <v>340</v>
      </c>
      <c r="B317" t="s">
        <v>19</v>
      </c>
      <c r="C317" s="5">
        <f>VLOOKUP(A317,Dim!A:B,2,0)</f>
        <v>103.55</v>
      </c>
      <c r="D317" s="1">
        <v>0.13070000000000001</v>
      </c>
      <c r="E317" s="1">
        <v>0.1085</v>
      </c>
      <c r="F317">
        <v>0.8</v>
      </c>
      <c r="G317" s="2">
        <v>292260000</v>
      </c>
      <c r="H317" s="2">
        <v>211208</v>
      </c>
      <c r="I317">
        <v>3</v>
      </c>
      <c r="J317" s="3">
        <v>3171.82</v>
      </c>
      <c r="K317">
        <v>336.42</v>
      </c>
      <c r="L317" s="1">
        <v>0.1061</v>
      </c>
      <c r="M317" s="1">
        <v>0</v>
      </c>
      <c r="N317" s="4">
        <f t="shared" si="25"/>
        <v>9.0416666666666666E-3</v>
      </c>
      <c r="O317" s="5">
        <f t="shared" si="26"/>
        <v>0.93626458333333329</v>
      </c>
      <c r="P317">
        <f t="shared" si="27"/>
        <v>112</v>
      </c>
      <c r="Q317" s="6">
        <f t="shared" si="28"/>
        <v>11597.6</v>
      </c>
      <c r="R317" s="6">
        <f t="shared" si="29"/>
        <v>104.86163333333333</v>
      </c>
      <c r="S317" t="str">
        <f t="shared" si="30"/>
        <v>Bom</v>
      </c>
    </row>
    <row r="318" spans="1:19" x14ac:dyDescent="0.3">
      <c r="A318" t="s">
        <v>341</v>
      </c>
      <c r="B318" t="s">
        <v>19</v>
      </c>
      <c r="C318" s="5">
        <f>VLOOKUP(A318,Dim!A:B,2,0)</f>
        <v>98.91</v>
      </c>
      <c r="D318" s="1">
        <v>4.19E-2</v>
      </c>
      <c r="E318" s="1">
        <v>1.29E-2</v>
      </c>
      <c r="F318">
        <v>1.18</v>
      </c>
      <c r="G318" s="2">
        <v>73413500</v>
      </c>
      <c r="H318" s="2">
        <v>557837</v>
      </c>
      <c r="I318">
        <v>3</v>
      </c>
      <c r="J318" s="3">
        <v>3304.58</v>
      </c>
      <c r="K318">
        <v>703.31</v>
      </c>
      <c r="L318" s="1">
        <v>0.21279999999999999</v>
      </c>
      <c r="M318" s="1">
        <v>0.47020000000000001</v>
      </c>
      <c r="N318" s="4">
        <f t="shared" si="25"/>
        <v>1.075E-3</v>
      </c>
      <c r="O318" s="5">
        <f t="shared" si="26"/>
        <v>0.10632825</v>
      </c>
      <c r="P318">
        <f t="shared" si="27"/>
        <v>932</v>
      </c>
      <c r="Q318" s="6">
        <f t="shared" si="28"/>
        <v>92184.12</v>
      </c>
      <c r="R318" s="6">
        <f t="shared" si="29"/>
        <v>99.097928999999993</v>
      </c>
      <c r="S318" t="str">
        <f t="shared" si="30"/>
        <v>Bom</v>
      </c>
    </row>
    <row r="319" spans="1:19" x14ac:dyDescent="0.3">
      <c r="A319" t="s">
        <v>342</v>
      </c>
      <c r="B319" t="s">
        <v>14</v>
      </c>
      <c r="C319" s="5">
        <f>VLOOKUP(A319,Dim!A:B,2,0)</f>
        <v>132.65</v>
      </c>
      <c r="D319" s="1">
        <v>3.5000000000000003E-2</v>
      </c>
      <c r="E319" s="1">
        <v>6.7199999999999996E-2</v>
      </c>
      <c r="F319">
        <v>1.34</v>
      </c>
      <c r="G319" s="2">
        <v>93389400</v>
      </c>
      <c r="H319" s="2">
        <v>149420</v>
      </c>
      <c r="I319">
        <v>0</v>
      </c>
      <c r="J319">
        <v>0</v>
      </c>
      <c r="K319">
        <v>0</v>
      </c>
      <c r="L319" s="1">
        <v>0</v>
      </c>
      <c r="M319" s="1">
        <v>0</v>
      </c>
      <c r="N319" s="4">
        <f t="shared" si="25"/>
        <v>5.5999999999999999E-3</v>
      </c>
      <c r="O319" s="5">
        <f t="shared" si="26"/>
        <v>0.74284000000000006</v>
      </c>
      <c r="P319">
        <f t="shared" si="27"/>
        <v>180</v>
      </c>
      <c r="Q319" s="6">
        <f t="shared" si="28"/>
        <v>23877</v>
      </c>
      <c r="R319" s="6">
        <f t="shared" si="29"/>
        <v>133.71120000000002</v>
      </c>
      <c r="S319" t="str">
        <f t="shared" si="30"/>
        <v>Alerta</v>
      </c>
    </row>
    <row r="320" spans="1:19" x14ac:dyDescent="0.3">
      <c r="A320" t="s">
        <v>138</v>
      </c>
      <c r="B320" t="s">
        <v>14</v>
      </c>
      <c r="C320" s="5">
        <f>VLOOKUP(A320,Dim!A:B,2,0)</f>
        <v>0</v>
      </c>
      <c r="D320" s="1">
        <v>7.7999999999999996E-3</v>
      </c>
      <c r="E320" s="1">
        <v>0</v>
      </c>
      <c r="F320">
        <v>4.13</v>
      </c>
      <c r="G320" s="2">
        <v>1072830000</v>
      </c>
      <c r="H320">
        <v>0</v>
      </c>
      <c r="I320">
        <v>2</v>
      </c>
      <c r="J320" s="3">
        <v>25593.599999999999</v>
      </c>
      <c r="K320">
        <v>364.83</v>
      </c>
      <c r="L320" s="1">
        <v>1.43E-2</v>
      </c>
      <c r="M320" s="1">
        <v>0.13300000000000001</v>
      </c>
      <c r="N320" s="4">
        <f t="shared" si="25"/>
        <v>0</v>
      </c>
      <c r="O320" s="5">
        <f t="shared" si="26"/>
        <v>0</v>
      </c>
      <c r="P320" t="e">
        <f t="shared" si="27"/>
        <v>#DIV/0!</v>
      </c>
      <c r="Q320" s="6" t="e">
        <f t="shared" si="28"/>
        <v>#DIV/0!</v>
      </c>
      <c r="R320" s="6" t="e">
        <f t="shared" si="29"/>
        <v>#DIV/0!</v>
      </c>
      <c r="S320" t="str">
        <f t="shared" si="30"/>
        <v>Bom</v>
      </c>
    </row>
    <row r="321" spans="1:19" x14ac:dyDescent="0.3">
      <c r="A321" t="s">
        <v>344</v>
      </c>
      <c r="B321" t="s">
        <v>106</v>
      </c>
      <c r="C321" s="5">
        <f>VLOOKUP(A321,Dim!A:B,2,0)</f>
        <v>208</v>
      </c>
      <c r="D321" s="1">
        <v>9.1399999999999995E-2</v>
      </c>
      <c r="E321" s="1">
        <v>9.0499999999999997E-2</v>
      </c>
      <c r="F321">
        <v>0.98</v>
      </c>
      <c r="G321" s="2">
        <v>267710000</v>
      </c>
      <c r="H321" s="2">
        <v>277245</v>
      </c>
      <c r="I321">
        <v>1</v>
      </c>
      <c r="J321" s="3">
        <v>10899</v>
      </c>
      <c r="K321" s="3">
        <v>1070.67</v>
      </c>
      <c r="L321" s="1">
        <v>9.8199999999999996E-2</v>
      </c>
      <c r="M321" s="1">
        <v>0</v>
      </c>
      <c r="N321" s="4">
        <f t="shared" si="25"/>
        <v>7.5416666666666661E-3</v>
      </c>
      <c r="O321" s="5">
        <f t="shared" si="26"/>
        <v>1.5686666666666667</v>
      </c>
      <c r="P321">
        <f t="shared" si="27"/>
        <v>134</v>
      </c>
      <c r="Q321" s="6">
        <f t="shared" si="28"/>
        <v>27872</v>
      </c>
      <c r="R321" s="6">
        <f t="shared" si="29"/>
        <v>210.20133333333334</v>
      </c>
      <c r="S321" t="str">
        <f t="shared" si="30"/>
        <v>Bom</v>
      </c>
    </row>
    <row r="322" spans="1:19" x14ac:dyDescent="0.3">
      <c r="A322" t="s">
        <v>141</v>
      </c>
      <c r="B322" t="s">
        <v>142</v>
      </c>
      <c r="C322" s="5">
        <f>VLOOKUP(A322,Dim!A:B,2,0)</f>
        <v>0</v>
      </c>
      <c r="D322" s="1">
        <v>0.69699999999999995</v>
      </c>
      <c r="E322" s="1">
        <v>4.7899999999999998E-2</v>
      </c>
      <c r="F322">
        <v>0.06</v>
      </c>
      <c r="G322" s="2">
        <v>4021240</v>
      </c>
      <c r="H322">
        <v>0</v>
      </c>
      <c r="I322">
        <v>5</v>
      </c>
      <c r="J322">
        <v>400.14</v>
      </c>
      <c r="K322">
        <v>474.83</v>
      </c>
      <c r="L322" s="1">
        <v>1.1867000000000001</v>
      </c>
      <c r="M322" s="1">
        <v>0</v>
      </c>
      <c r="N322" s="4">
        <f t="shared" ref="N322:N385" si="31">E322/12</f>
        <v>3.9916666666666668E-3</v>
      </c>
      <c r="O322" s="5">
        <f t="shared" ref="O322:O385" si="32">N322*C322</f>
        <v>0</v>
      </c>
      <c r="P322" t="e">
        <f t="shared" ref="P322:P385" si="33">ROUNDUP((C322/O322),0)+1</f>
        <v>#DIV/0!</v>
      </c>
      <c r="Q322" s="6" t="e">
        <f t="shared" ref="Q322:Q385" si="34">P322*C322</f>
        <v>#DIV/0!</v>
      </c>
      <c r="R322" s="6" t="e">
        <f t="shared" ref="R322:R385" si="35">P322*O322</f>
        <v>#DIV/0!</v>
      </c>
      <c r="S322" t="str">
        <f t="shared" si="30"/>
        <v>Bom</v>
      </c>
    </row>
    <row r="323" spans="1:19" x14ac:dyDescent="0.3">
      <c r="A323" t="s">
        <v>346</v>
      </c>
      <c r="B323" t="s">
        <v>37</v>
      </c>
      <c r="C323" s="5">
        <f>VLOOKUP(A323,Dim!A:B,2,0)</f>
        <v>1095</v>
      </c>
      <c r="D323" s="1">
        <v>-2.7799999999999998E-2</v>
      </c>
      <c r="E323" s="1">
        <v>0.11890000000000001</v>
      </c>
      <c r="F323">
        <v>0.8</v>
      </c>
      <c r="G323" s="2">
        <v>154701000</v>
      </c>
      <c r="H323">
        <v>0</v>
      </c>
      <c r="I323">
        <v>4</v>
      </c>
      <c r="J323" s="3">
        <v>17430.599999999999</v>
      </c>
      <c r="K323">
        <v>0.44</v>
      </c>
      <c r="L323" s="1">
        <v>0</v>
      </c>
      <c r="M323" s="1">
        <v>0</v>
      </c>
      <c r="N323" s="4">
        <f t="shared" si="31"/>
        <v>9.9083333333333332E-3</v>
      </c>
      <c r="O323" s="5">
        <f t="shared" si="32"/>
        <v>10.849625</v>
      </c>
      <c r="P323">
        <f t="shared" si="33"/>
        <v>102</v>
      </c>
      <c r="Q323" s="6">
        <f t="shared" si="34"/>
        <v>111690</v>
      </c>
      <c r="R323" s="6">
        <f t="shared" si="35"/>
        <v>1106.66175</v>
      </c>
      <c r="S323" t="str">
        <f t="shared" si="30"/>
        <v>Alerta</v>
      </c>
    </row>
    <row r="324" spans="1:19" x14ac:dyDescent="0.3">
      <c r="A324" t="s">
        <v>347</v>
      </c>
      <c r="B324" t="s">
        <v>19</v>
      </c>
      <c r="C324" s="5">
        <f>VLOOKUP(A324,Dim!A:B,2,0)</f>
        <v>91</v>
      </c>
      <c r="D324" s="1">
        <v>8.1100000000000005E-2</v>
      </c>
      <c r="E324" s="1">
        <v>8.3900000000000002E-2</v>
      </c>
      <c r="F324">
        <v>0.61</v>
      </c>
      <c r="G324" s="2">
        <v>39337700</v>
      </c>
      <c r="H324" s="2">
        <v>9493</v>
      </c>
      <c r="I324">
        <v>0</v>
      </c>
      <c r="J324">
        <v>0</v>
      </c>
      <c r="K324">
        <v>0</v>
      </c>
      <c r="L324" s="1">
        <v>0</v>
      </c>
      <c r="M324" s="1">
        <v>0</v>
      </c>
      <c r="N324" s="4">
        <f t="shared" si="31"/>
        <v>6.9916666666666669E-3</v>
      </c>
      <c r="O324" s="5">
        <f t="shared" si="32"/>
        <v>0.63624166666666671</v>
      </c>
      <c r="P324">
        <f t="shared" si="33"/>
        <v>145</v>
      </c>
      <c r="Q324" s="6">
        <f t="shared" si="34"/>
        <v>13195</v>
      </c>
      <c r="R324" s="6">
        <f t="shared" si="35"/>
        <v>92.255041666666671</v>
      </c>
      <c r="S324" t="str">
        <f t="shared" si="30"/>
        <v>Alerta</v>
      </c>
    </row>
    <row r="325" spans="1:19" x14ac:dyDescent="0.3">
      <c r="A325" t="s">
        <v>155</v>
      </c>
      <c r="B325" t="s">
        <v>14</v>
      </c>
      <c r="C325" s="5">
        <f>VLOOKUP(A325,Dim!A:B,2,0)</f>
        <v>0</v>
      </c>
      <c r="D325" s="1">
        <v>4.9299999999999997E-2</v>
      </c>
      <c r="E325" s="1">
        <v>5.5899999999999998E-2</v>
      </c>
      <c r="F325">
        <v>0.97</v>
      </c>
      <c r="G325" s="2">
        <v>546231000</v>
      </c>
      <c r="H325">
        <v>0</v>
      </c>
      <c r="I325">
        <v>11</v>
      </c>
      <c r="J325" s="3">
        <v>6565.94</v>
      </c>
      <c r="K325">
        <v>343.08</v>
      </c>
      <c r="L325" s="1">
        <v>5.2299999999999999E-2</v>
      </c>
      <c r="M325" s="1">
        <v>4.8999999999999998E-3</v>
      </c>
      <c r="N325" s="4">
        <f t="shared" si="31"/>
        <v>4.6583333333333329E-3</v>
      </c>
      <c r="O325" s="5">
        <f t="shared" si="32"/>
        <v>0</v>
      </c>
      <c r="P325" t="e">
        <f t="shared" si="33"/>
        <v>#DIV/0!</v>
      </c>
      <c r="Q325" s="6" t="e">
        <f t="shared" si="34"/>
        <v>#DIV/0!</v>
      </c>
      <c r="R325" s="6" t="e">
        <f t="shared" si="35"/>
        <v>#DIV/0!</v>
      </c>
      <c r="S325" t="str">
        <f t="shared" ref="S325:S388" si="36">IF(D325&gt;E325,"Bom",IF(D325=E325,"netro","Alerta"))</f>
        <v>Alerta</v>
      </c>
    </row>
    <row r="326" spans="1:19" x14ac:dyDescent="0.3">
      <c r="A326" t="s">
        <v>148</v>
      </c>
      <c r="B326" t="s">
        <v>16</v>
      </c>
      <c r="C326" s="5">
        <f>VLOOKUP(A326,Dim!A:B,2,0)</f>
        <v>0</v>
      </c>
      <c r="D326" s="1">
        <v>0.1056</v>
      </c>
      <c r="E326" s="1">
        <v>3.4000000000000002E-2</v>
      </c>
      <c r="F326">
        <v>0.66</v>
      </c>
      <c r="G326" s="2">
        <v>869375000</v>
      </c>
      <c r="H326">
        <v>0</v>
      </c>
      <c r="I326">
        <v>1</v>
      </c>
      <c r="J326" s="3">
        <v>10651.8</v>
      </c>
      <c r="K326" s="3">
        <v>1330.05</v>
      </c>
      <c r="L326" s="1">
        <v>0.1249</v>
      </c>
      <c r="M326" s="1">
        <v>1.1599999999999999E-2</v>
      </c>
      <c r="N326" s="4">
        <f t="shared" si="31"/>
        <v>2.8333333333333335E-3</v>
      </c>
      <c r="O326" s="5">
        <f t="shared" si="32"/>
        <v>0</v>
      </c>
      <c r="P326" t="e">
        <f t="shared" si="33"/>
        <v>#DIV/0!</v>
      </c>
      <c r="Q326" s="6" t="e">
        <f t="shared" si="34"/>
        <v>#DIV/0!</v>
      </c>
      <c r="R326" s="6" t="e">
        <f t="shared" si="35"/>
        <v>#DIV/0!</v>
      </c>
      <c r="S326" t="str">
        <f t="shared" si="36"/>
        <v>Bom</v>
      </c>
    </row>
    <row r="327" spans="1:19" x14ac:dyDescent="0.3">
      <c r="A327" t="s">
        <v>150</v>
      </c>
      <c r="B327" t="s">
        <v>14</v>
      </c>
      <c r="C327" s="5">
        <f>VLOOKUP(A327,Dim!A:B,2,0)</f>
        <v>0</v>
      </c>
      <c r="D327" s="1">
        <v>0.15129999999999999</v>
      </c>
      <c r="E327" s="1">
        <v>6.0199999999999997E-2</v>
      </c>
      <c r="F327">
        <v>0.83</v>
      </c>
      <c r="G327" s="2">
        <v>122098000</v>
      </c>
      <c r="H327">
        <v>0</v>
      </c>
      <c r="I327">
        <v>0</v>
      </c>
      <c r="J327">
        <v>0</v>
      </c>
      <c r="K327">
        <v>0</v>
      </c>
      <c r="L327" s="1">
        <v>0</v>
      </c>
      <c r="M327" s="1">
        <v>0</v>
      </c>
      <c r="N327" s="4">
        <f t="shared" si="31"/>
        <v>5.0166666666666667E-3</v>
      </c>
      <c r="O327" s="5">
        <f t="shared" si="32"/>
        <v>0</v>
      </c>
      <c r="P327" t="e">
        <f t="shared" si="33"/>
        <v>#DIV/0!</v>
      </c>
      <c r="Q327" s="6" t="e">
        <f t="shared" si="34"/>
        <v>#DIV/0!</v>
      </c>
      <c r="R327" s="6" t="e">
        <f t="shared" si="35"/>
        <v>#DIV/0!</v>
      </c>
      <c r="S327" t="str">
        <f t="shared" si="36"/>
        <v>Bom</v>
      </c>
    </row>
    <row r="328" spans="1:19" x14ac:dyDescent="0.3">
      <c r="A328" t="s">
        <v>168</v>
      </c>
      <c r="B328" t="s">
        <v>23</v>
      </c>
      <c r="C328" s="5">
        <f>VLOOKUP(A328,Dim!A:B,2,0)</f>
        <v>0</v>
      </c>
      <c r="D328" s="1">
        <v>-0.21060000000000001</v>
      </c>
      <c r="E328" s="1">
        <v>0</v>
      </c>
      <c r="F328">
        <v>3.41</v>
      </c>
      <c r="G328" s="2">
        <v>218079000</v>
      </c>
      <c r="H328">
        <v>0</v>
      </c>
      <c r="I328">
        <v>1</v>
      </c>
      <c r="J328">
        <v>0</v>
      </c>
      <c r="K328">
        <v>0</v>
      </c>
      <c r="L328" s="1">
        <v>0</v>
      </c>
      <c r="M328" s="1">
        <v>0</v>
      </c>
      <c r="N328" s="4">
        <f t="shared" si="31"/>
        <v>0</v>
      </c>
      <c r="O328" s="5">
        <f t="shared" si="32"/>
        <v>0</v>
      </c>
      <c r="P328" t="e">
        <f t="shared" si="33"/>
        <v>#DIV/0!</v>
      </c>
      <c r="Q328" s="6" t="e">
        <f t="shared" si="34"/>
        <v>#DIV/0!</v>
      </c>
      <c r="R328" s="6" t="e">
        <f t="shared" si="35"/>
        <v>#DIV/0!</v>
      </c>
      <c r="S328" t="str">
        <f t="shared" si="36"/>
        <v>Alerta</v>
      </c>
    </row>
    <row r="329" spans="1:19" x14ac:dyDescent="0.3">
      <c r="A329" t="s">
        <v>161</v>
      </c>
      <c r="B329" t="s">
        <v>14</v>
      </c>
      <c r="C329" s="5">
        <f>VLOOKUP(A329,Dim!A:B,2,0)</f>
        <v>0</v>
      </c>
      <c r="D329" s="1">
        <v>1.3100000000000001E-2</v>
      </c>
      <c r="E329" s="1">
        <v>0</v>
      </c>
      <c r="F329">
        <v>8.44</v>
      </c>
      <c r="G329" s="2">
        <v>8310020000</v>
      </c>
      <c r="H329">
        <v>0</v>
      </c>
      <c r="I329">
        <v>0</v>
      </c>
      <c r="J329">
        <v>0</v>
      </c>
      <c r="K329">
        <v>0</v>
      </c>
      <c r="L329" s="1">
        <v>0</v>
      </c>
      <c r="M329" s="1">
        <v>0</v>
      </c>
      <c r="N329" s="4">
        <f t="shared" si="31"/>
        <v>0</v>
      </c>
      <c r="O329" s="5">
        <f t="shared" si="32"/>
        <v>0</v>
      </c>
      <c r="P329" t="e">
        <f t="shared" si="33"/>
        <v>#DIV/0!</v>
      </c>
      <c r="Q329" s="6" t="e">
        <f t="shared" si="34"/>
        <v>#DIV/0!</v>
      </c>
      <c r="R329" s="6" t="e">
        <f t="shared" si="35"/>
        <v>#DIV/0!</v>
      </c>
      <c r="S329" t="str">
        <f t="shared" si="36"/>
        <v>Bom</v>
      </c>
    </row>
    <row r="330" spans="1:19" x14ac:dyDescent="0.3">
      <c r="A330" t="s">
        <v>162</v>
      </c>
      <c r="B330" t="s">
        <v>28</v>
      </c>
      <c r="C330" s="5">
        <f>VLOOKUP(A330,Dim!A:B,2,0)</f>
        <v>0</v>
      </c>
      <c r="D330" s="1">
        <v>3.6299999999999999E-2</v>
      </c>
      <c r="E330" s="1">
        <v>0</v>
      </c>
      <c r="F330">
        <v>0.9</v>
      </c>
      <c r="G330" s="2">
        <v>671817000</v>
      </c>
      <c r="H330">
        <v>0</v>
      </c>
      <c r="I330">
        <v>9</v>
      </c>
      <c r="J330" s="3">
        <v>17089.900000000001</v>
      </c>
      <c r="K330" s="3">
        <v>1216.83</v>
      </c>
      <c r="L330" s="1">
        <v>7.1199999999999999E-2</v>
      </c>
      <c r="M330" s="1">
        <v>6.4899999999999999E-2</v>
      </c>
      <c r="N330" s="4">
        <f t="shared" si="31"/>
        <v>0</v>
      </c>
      <c r="O330" s="5">
        <f t="shared" si="32"/>
        <v>0</v>
      </c>
      <c r="P330" t="e">
        <f t="shared" si="33"/>
        <v>#DIV/0!</v>
      </c>
      <c r="Q330" s="6" t="e">
        <f t="shared" si="34"/>
        <v>#DIV/0!</v>
      </c>
      <c r="R330" s="6" t="e">
        <f t="shared" si="35"/>
        <v>#DIV/0!</v>
      </c>
      <c r="S330" t="str">
        <f t="shared" si="36"/>
        <v>Bom</v>
      </c>
    </row>
    <row r="331" spans="1:19" x14ac:dyDescent="0.3">
      <c r="A331" t="s">
        <v>169</v>
      </c>
      <c r="B331" t="s">
        <v>14</v>
      </c>
      <c r="C331" s="5">
        <f>VLOOKUP(A331,Dim!A:B,2,0)</f>
        <v>0</v>
      </c>
      <c r="D331" s="1">
        <v>6.6900000000000001E-2</v>
      </c>
      <c r="E331" s="1">
        <v>0</v>
      </c>
      <c r="F331">
        <v>1.58</v>
      </c>
      <c r="G331" s="2">
        <v>367236000</v>
      </c>
      <c r="H331" s="2">
        <v>112870</v>
      </c>
      <c r="I331">
        <v>0</v>
      </c>
      <c r="J331">
        <v>0</v>
      </c>
      <c r="K331">
        <v>0</v>
      </c>
      <c r="L331" s="1">
        <v>0</v>
      </c>
      <c r="M331" s="1">
        <v>0</v>
      </c>
      <c r="N331" s="4">
        <f t="shared" si="31"/>
        <v>0</v>
      </c>
      <c r="O331" s="5">
        <f t="shared" si="32"/>
        <v>0</v>
      </c>
      <c r="P331" t="e">
        <f t="shared" si="33"/>
        <v>#DIV/0!</v>
      </c>
      <c r="Q331" s="6" t="e">
        <f t="shared" si="34"/>
        <v>#DIV/0!</v>
      </c>
      <c r="R331" s="6" t="e">
        <f t="shared" si="35"/>
        <v>#DIV/0!</v>
      </c>
      <c r="S331" t="str">
        <f t="shared" si="36"/>
        <v>Bom</v>
      </c>
    </row>
    <row r="332" spans="1:19" x14ac:dyDescent="0.3">
      <c r="A332" t="s">
        <v>355</v>
      </c>
      <c r="B332" t="s">
        <v>19</v>
      </c>
      <c r="C332" s="5">
        <f>VLOOKUP(A332,Dim!A:B,2,0)</f>
        <v>76.2</v>
      </c>
      <c r="D332" s="1">
        <v>0.16400000000000001</v>
      </c>
      <c r="E332" s="1">
        <v>0.16220000000000001</v>
      </c>
      <c r="F332">
        <v>0.76</v>
      </c>
      <c r="G332" s="2">
        <v>248222000</v>
      </c>
      <c r="H332" s="2">
        <v>539591</v>
      </c>
      <c r="I332">
        <v>0</v>
      </c>
      <c r="J332">
        <v>0</v>
      </c>
      <c r="K332">
        <v>0</v>
      </c>
      <c r="L332" s="1">
        <v>0</v>
      </c>
      <c r="M332" s="1">
        <v>0</v>
      </c>
      <c r="N332" s="4">
        <f t="shared" si="31"/>
        <v>1.3516666666666668E-2</v>
      </c>
      <c r="O332" s="5">
        <f t="shared" si="32"/>
        <v>1.0299700000000001</v>
      </c>
      <c r="P332">
        <f t="shared" si="33"/>
        <v>75</v>
      </c>
      <c r="Q332" s="6">
        <f t="shared" si="34"/>
        <v>5715</v>
      </c>
      <c r="R332" s="6">
        <f t="shared" si="35"/>
        <v>77.247750000000011</v>
      </c>
      <c r="S332" t="str">
        <f t="shared" si="36"/>
        <v>Bom</v>
      </c>
    </row>
    <row r="333" spans="1:19" x14ac:dyDescent="0.3">
      <c r="A333" t="s">
        <v>356</v>
      </c>
      <c r="B333" t="s">
        <v>47</v>
      </c>
      <c r="C333" s="5">
        <f>VLOOKUP(A333,Dim!A:B,2,0)</f>
        <v>27</v>
      </c>
      <c r="D333" s="1">
        <v>2.3800000000000002E-2</v>
      </c>
      <c r="E333" s="1">
        <v>2.53E-2</v>
      </c>
      <c r="F333">
        <v>0.81</v>
      </c>
      <c r="G333" s="2">
        <v>98755100</v>
      </c>
      <c r="H333" s="2">
        <v>798504</v>
      </c>
      <c r="I333">
        <v>2</v>
      </c>
      <c r="J333">
        <v>496.05</v>
      </c>
      <c r="K333">
        <v>108.69</v>
      </c>
      <c r="L333" s="1">
        <v>0.21909999999999999</v>
      </c>
      <c r="M333" s="1">
        <v>0</v>
      </c>
      <c r="N333" s="4">
        <f t="shared" si="31"/>
        <v>2.1083333333333332E-3</v>
      </c>
      <c r="O333" s="5">
        <f t="shared" si="32"/>
        <v>5.6924999999999996E-2</v>
      </c>
      <c r="P333">
        <f t="shared" si="33"/>
        <v>476</v>
      </c>
      <c r="Q333" s="6">
        <f t="shared" si="34"/>
        <v>12852</v>
      </c>
      <c r="R333" s="6">
        <f t="shared" si="35"/>
        <v>27.096299999999999</v>
      </c>
      <c r="S333" t="str">
        <f t="shared" si="36"/>
        <v>Alerta</v>
      </c>
    </row>
    <row r="334" spans="1:19" x14ac:dyDescent="0.3">
      <c r="A334" t="s">
        <v>180</v>
      </c>
      <c r="B334" t="s">
        <v>142</v>
      </c>
      <c r="C334" s="5">
        <f>VLOOKUP(A334,Dim!A:B,2,0)</f>
        <v>0</v>
      </c>
      <c r="D334" s="1">
        <v>0</v>
      </c>
      <c r="E334" s="1">
        <v>0</v>
      </c>
      <c r="F334">
        <v>0</v>
      </c>
      <c r="G334">
        <v>0</v>
      </c>
      <c r="H334">
        <v>0</v>
      </c>
      <c r="I334">
        <v>1</v>
      </c>
      <c r="J334">
        <v>0</v>
      </c>
      <c r="K334">
        <v>636.95000000000005</v>
      </c>
      <c r="L334" s="1">
        <v>0</v>
      </c>
      <c r="M334" s="1">
        <v>0</v>
      </c>
      <c r="N334" s="4">
        <f t="shared" si="31"/>
        <v>0</v>
      </c>
      <c r="O334" s="5">
        <f t="shared" si="32"/>
        <v>0</v>
      </c>
      <c r="P334" t="e">
        <f t="shared" si="33"/>
        <v>#DIV/0!</v>
      </c>
      <c r="Q334" s="6" t="e">
        <f t="shared" si="34"/>
        <v>#DIV/0!</v>
      </c>
      <c r="R334" s="6" t="e">
        <f t="shared" si="35"/>
        <v>#DIV/0!</v>
      </c>
      <c r="S334" t="str">
        <f t="shared" si="36"/>
        <v>netro</v>
      </c>
    </row>
    <row r="335" spans="1:19" x14ac:dyDescent="0.3">
      <c r="A335" t="s">
        <v>171</v>
      </c>
      <c r="B335" t="s">
        <v>28</v>
      </c>
      <c r="C335" s="5">
        <f>VLOOKUP(A335,Dim!A:B,2,0)</f>
        <v>0</v>
      </c>
      <c r="D335" s="1">
        <v>7.6700000000000004E-2</v>
      </c>
      <c r="E335" s="1">
        <v>0</v>
      </c>
      <c r="F335">
        <v>0.73</v>
      </c>
      <c r="G335" s="2">
        <v>345426000</v>
      </c>
      <c r="H335">
        <v>0</v>
      </c>
      <c r="I335">
        <v>1</v>
      </c>
      <c r="J335" s="3">
        <v>31152</v>
      </c>
      <c r="K335" s="3">
        <v>2545.19</v>
      </c>
      <c r="L335" s="1">
        <v>8.1699999999999995E-2</v>
      </c>
      <c r="M335" s="1">
        <v>0.38200000000000001</v>
      </c>
      <c r="N335" s="4">
        <f t="shared" si="31"/>
        <v>0</v>
      </c>
      <c r="O335" s="5">
        <f t="shared" si="32"/>
        <v>0</v>
      </c>
      <c r="P335" t="e">
        <f t="shared" si="33"/>
        <v>#DIV/0!</v>
      </c>
      <c r="Q335" s="6" t="e">
        <f t="shared" si="34"/>
        <v>#DIV/0!</v>
      </c>
      <c r="R335" s="6" t="e">
        <f t="shared" si="35"/>
        <v>#DIV/0!</v>
      </c>
      <c r="S335" t="str">
        <f t="shared" si="36"/>
        <v>Bom</v>
      </c>
    </row>
    <row r="336" spans="1:19" x14ac:dyDescent="0.3">
      <c r="A336" t="s">
        <v>359</v>
      </c>
      <c r="B336" t="s">
        <v>14</v>
      </c>
      <c r="C336" s="5">
        <f>VLOOKUP(A336,Dim!A:B,2,0)</f>
        <v>41.98</v>
      </c>
      <c r="D336" s="1">
        <v>0.04</v>
      </c>
      <c r="E336" s="1">
        <v>3.3700000000000001E-2</v>
      </c>
      <c r="F336">
        <v>1.02</v>
      </c>
      <c r="G336" s="2">
        <v>146052000</v>
      </c>
      <c r="H336" s="2">
        <v>35843</v>
      </c>
      <c r="I336">
        <v>4</v>
      </c>
      <c r="J336" s="3">
        <v>18752.2</v>
      </c>
      <c r="K336" s="3">
        <v>1103.6400000000001</v>
      </c>
      <c r="L336" s="1">
        <v>5.8900000000000001E-2</v>
      </c>
      <c r="M336" s="1">
        <v>0</v>
      </c>
      <c r="N336" s="4">
        <f t="shared" si="31"/>
        <v>2.8083333333333333E-3</v>
      </c>
      <c r="O336" s="5">
        <f t="shared" si="32"/>
        <v>0.11789383333333332</v>
      </c>
      <c r="P336">
        <f t="shared" si="33"/>
        <v>358</v>
      </c>
      <c r="Q336" s="6">
        <f t="shared" si="34"/>
        <v>15028.839999999998</v>
      </c>
      <c r="R336" s="6">
        <f t="shared" si="35"/>
        <v>42.205992333333327</v>
      </c>
      <c r="S336" t="str">
        <f t="shared" si="36"/>
        <v>Bom</v>
      </c>
    </row>
    <row r="337" spans="1:19" x14ac:dyDescent="0.3">
      <c r="A337" t="s">
        <v>360</v>
      </c>
      <c r="B337" t="s">
        <v>47</v>
      </c>
      <c r="C337" s="5">
        <f>VLOOKUP(A337,Dim!A:B,2,0)</f>
        <v>61.19</v>
      </c>
      <c r="D337" s="1">
        <v>0.12139999999999999</v>
      </c>
      <c r="E337" s="1">
        <v>0.1144</v>
      </c>
      <c r="F337">
        <v>0.62</v>
      </c>
      <c r="G337" s="2">
        <v>300341000</v>
      </c>
      <c r="H337" s="2">
        <v>515546</v>
      </c>
      <c r="I337">
        <v>4</v>
      </c>
      <c r="J337" s="3">
        <v>1921.06</v>
      </c>
      <c r="K337">
        <v>273.57</v>
      </c>
      <c r="L337" s="1">
        <v>0.1424</v>
      </c>
      <c r="M337" s="1">
        <v>8.77E-2</v>
      </c>
      <c r="N337" s="4">
        <f t="shared" si="31"/>
        <v>9.5333333333333329E-3</v>
      </c>
      <c r="O337" s="5">
        <f t="shared" si="32"/>
        <v>0.58334466666666662</v>
      </c>
      <c r="P337">
        <f t="shared" si="33"/>
        <v>106</v>
      </c>
      <c r="Q337" s="6">
        <f t="shared" si="34"/>
        <v>6486.1399999999994</v>
      </c>
      <c r="R337" s="6">
        <f t="shared" si="35"/>
        <v>61.834534666666663</v>
      </c>
      <c r="S337" t="str">
        <f t="shared" si="36"/>
        <v>Bom</v>
      </c>
    </row>
    <row r="338" spans="1:19" x14ac:dyDescent="0.3">
      <c r="A338" t="s">
        <v>580</v>
      </c>
      <c r="B338" t="s">
        <v>14</v>
      </c>
      <c r="C338" s="5">
        <f>VLOOKUP(A338,Dim!A:B,2,0)</f>
        <v>80.66</v>
      </c>
      <c r="D338" s="1">
        <v>9.64E-2</v>
      </c>
      <c r="E338" s="1">
        <v>0.14729999999999999</v>
      </c>
      <c r="F338">
        <v>0.87</v>
      </c>
      <c r="G338" s="2">
        <v>1379480000</v>
      </c>
      <c r="H338" s="2">
        <v>3944260</v>
      </c>
      <c r="I338">
        <v>0</v>
      </c>
      <c r="J338">
        <v>0</v>
      </c>
      <c r="K338">
        <v>0</v>
      </c>
      <c r="L338" s="1">
        <v>0</v>
      </c>
      <c r="M338" s="1">
        <v>0</v>
      </c>
      <c r="N338" s="4">
        <f t="shared" si="31"/>
        <v>1.2274999999999999E-2</v>
      </c>
      <c r="O338" s="5">
        <f t="shared" si="32"/>
        <v>0.99010149999999997</v>
      </c>
      <c r="P338">
        <f t="shared" si="33"/>
        <v>83</v>
      </c>
      <c r="Q338" s="6">
        <f t="shared" si="34"/>
        <v>6694.78</v>
      </c>
      <c r="R338" s="6">
        <f t="shared" si="35"/>
        <v>82.178424499999991</v>
      </c>
      <c r="S338" t="str">
        <f t="shared" si="36"/>
        <v>Alerta</v>
      </c>
    </row>
    <row r="339" spans="1:19" x14ac:dyDescent="0.3">
      <c r="A339" t="s">
        <v>361</v>
      </c>
      <c r="B339" t="s">
        <v>14</v>
      </c>
      <c r="C339" s="5">
        <f>VLOOKUP(A339,Dim!A:B,2,0)</f>
        <v>100</v>
      </c>
      <c r="D339" s="1">
        <v>2.7E-2</v>
      </c>
      <c r="E339" s="1">
        <v>5.1499999999999997E-2</v>
      </c>
      <c r="F339">
        <v>0.99</v>
      </c>
      <c r="G339" s="2">
        <v>38760000</v>
      </c>
      <c r="H339">
        <v>57</v>
      </c>
      <c r="I339">
        <v>1</v>
      </c>
      <c r="J339" s="3">
        <v>4300.12</v>
      </c>
      <c r="K339">
        <v>158.27000000000001</v>
      </c>
      <c r="L339" s="1">
        <v>3.6799999999999999E-2</v>
      </c>
      <c r="M339" s="1">
        <v>1</v>
      </c>
      <c r="N339" s="4">
        <f t="shared" si="31"/>
        <v>4.2916666666666667E-3</v>
      </c>
      <c r="O339" s="5">
        <f t="shared" si="32"/>
        <v>0.4291666666666667</v>
      </c>
      <c r="P339">
        <f t="shared" si="33"/>
        <v>235</v>
      </c>
      <c r="Q339" s="6">
        <f t="shared" si="34"/>
        <v>23500</v>
      </c>
      <c r="R339" s="6">
        <f t="shared" si="35"/>
        <v>100.85416666666667</v>
      </c>
      <c r="S339" t="str">
        <f t="shared" si="36"/>
        <v>Alerta</v>
      </c>
    </row>
    <row r="340" spans="1:19" x14ac:dyDescent="0.3">
      <c r="A340" t="s">
        <v>177</v>
      </c>
      <c r="B340" t="s">
        <v>14</v>
      </c>
      <c r="C340" s="5">
        <f>VLOOKUP(A340,Dim!A:B,2,0)</f>
        <v>0</v>
      </c>
      <c r="D340" s="1">
        <v>9.2299999999999993E-2</v>
      </c>
      <c r="E340" s="1">
        <v>0</v>
      </c>
      <c r="F340">
        <v>1.08</v>
      </c>
      <c r="G340" s="2">
        <v>1324330000</v>
      </c>
      <c r="H340">
        <v>0</v>
      </c>
      <c r="I340">
        <v>0</v>
      </c>
      <c r="J340">
        <v>0</v>
      </c>
      <c r="K340">
        <v>0</v>
      </c>
      <c r="L340" s="1">
        <v>0</v>
      </c>
      <c r="M340" s="1">
        <v>0</v>
      </c>
      <c r="N340" s="4">
        <f t="shared" si="31"/>
        <v>0</v>
      </c>
      <c r="O340" s="5">
        <f t="shared" si="32"/>
        <v>0</v>
      </c>
      <c r="P340" t="e">
        <f t="shared" si="33"/>
        <v>#DIV/0!</v>
      </c>
      <c r="Q340" s="6" t="e">
        <f t="shared" si="34"/>
        <v>#DIV/0!</v>
      </c>
      <c r="R340" s="6" t="e">
        <f t="shared" si="35"/>
        <v>#DIV/0!</v>
      </c>
      <c r="S340" t="str">
        <f t="shared" si="36"/>
        <v>Bom</v>
      </c>
    </row>
    <row r="341" spans="1:19" x14ac:dyDescent="0.3">
      <c r="A341" t="s">
        <v>363</v>
      </c>
      <c r="B341" t="s">
        <v>19</v>
      </c>
      <c r="C341" s="5">
        <f>VLOOKUP(A341,Dim!A:B,2,0)</f>
        <v>31.61</v>
      </c>
      <c r="D341" s="1">
        <v>0.23780000000000001</v>
      </c>
      <c r="E341" s="1">
        <v>0.2382</v>
      </c>
      <c r="F341">
        <v>0.52</v>
      </c>
      <c r="G341" s="2">
        <v>17421100</v>
      </c>
      <c r="H341">
        <v>151</v>
      </c>
      <c r="I341">
        <v>0</v>
      </c>
      <c r="J341">
        <v>0</v>
      </c>
      <c r="K341">
        <v>0</v>
      </c>
      <c r="L341" s="1">
        <v>0</v>
      </c>
      <c r="M341" s="1">
        <v>0</v>
      </c>
      <c r="N341" s="4">
        <f t="shared" si="31"/>
        <v>1.985E-2</v>
      </c>
      <c r="O341" s="5">
        <f t="shared" si="32"/>
        <v>0.62745850000000003</v>
      </c>
      <c r="P341">
        <f t="shared" si="33"/>
        <v>52</v>
      </c>
      <c r="Q341" s="6">
        <f t="shared" si="34"/>
        <v>1643.72</v>
      </c>
      <c r="R341" s="6">
        <f t="shared" si="35"/>
        <v>32.627842000000001</v>
      </c>
      <c r="S341" t="str">
        <f t="shared" si="36"/>
        <v>Alerta</v>
      </c>
    </row>
    <row r="342" spans="1:19" x14ac:dyDescent="0.3">
      <c r="A342" t="s">
        <v>364</v>
      </c>
      <c r="B342" t="s">
        <v>14</v>
      </c>
      <c r="C342" s="5">
        <f>VLOOKUP(A342,Dim!A:B,2,0)</f>
        <v>49</v>
      </c>
      <c r="D342" s="1">
        <v>0.1081</v>
      </c>
      <c r="E342" s="1">
        <v>0.1114</v>
      </c>
      <c r="F342">
        <v>0.8</v>
      </c>
      <c r="G342" s="2">
        <v>269905000</v>
      </c>
      <c r="H342" s="2">
        <v>157700</v>
      </c>
      <c r="I342">
        <v>12</v>
      </c>
      <c r="J342" s="3">
        <v>1883.21</v>
      </c>
      <c r="K342">
        <v>228.95</v>
      </c>
      <c r="L342" s="1">
        <v>0.1216</v>
      </c>
      <c r="M342" s="1">
        <v>0</v>
      </c>
      <c r="N342" s="4">
        <f t="shared" si="31"/>
        <v>9.2833333333333327E-3</v>
      </c>
      <c r="O342" s="5">
        <f t="shared" si="32"/>
        <v>0.45488333333333331</v>
      </c>
      <c r="P342">
        <f t="shared" si="33"/>
        <v>109</v>
      </c>
      <c r="Q342" s="6">
        <f t="shared" si="34"/>
        <v>5341</v>
      </c>
      <c r="R342" s="6">
        <f t="shared" si="35"/>
        <v>49.582283333333329</v>
      </c>
      <c r="S342" t="str">
        <f t="shared" si="36"/>
        <v>Alerta</v>
      </c>
    </row>
    <row r="343" spans="1:19" x14ac:dyDescent="0.3">
      <c r="A343" t="s">
        <v>365</v>
      </c>
      <c r="B343" t="s">
        <v>23</v>
      </c>
      <c r="C343" s="5">
        <f>VLOOKUP(A343,Dim!A:B,2,0)</f>
        <v>70.760000000000005</v>
      </c>
      <c r="D343" s="1">
        <v>0.21729999999999999</v>
      </c>
      <c r="E343" s="1">
        <v>9.3200000000000005E-2</v>
      </c>
      <c r="F343">
        <v>0.74</v>
      </c>
      <c r="G343" s="2">
        <v>39219700</v>
      </c>
      <c r="H343" s="2">
        <v>73043</v>
      </c>
      <c r="I343">
        <v>0</v>
      </c>
      <c r="J343">
        <v>0</v>
      </c>
      <c r="K343">
        <v>0</v>
      </c>
      <c r="L343" s="1">
        <v>0</v>
      </c>
      <c r="M343" s="1">
        <v>0</v>
      </c>
      <c r="N343" s="4">
        <f t="shared" si="31"/>
        <v>7.7666666666666674E-3</v>
      </c>
      <c r="O343" s="5">
        <f t="shared" si="32"/>
        <v>0.54956933333333347</v>
      </c>
      <c r="P343">
        <f t="shared" si="33"/>
        <v>130</v>
      </c>
      <c r="Q343" s="6">
        <f t="shared" si="34"/>
        <v>9198.8000000000011</v>
      </c>
      <c r="R343" s="6">
        <f t="shared" si="35"/>
        <v>71.444013333333345</v>
      </c>
      <c r="S343" t="str">
        <f t="shared" si="36"/>
        <v>Bom</v>
      </c>
    </row>
    <row r="344" spans="1:19" x14ac:dyDescent="0.3">
      <c r="A344" t="s">
        <v>185</v>
      </c>
      <c r="B344" t="s">
        <v>19</v>
      </c>
      <c r="C344" s="5">
        <f>VLOOKUP(A344,Dim!A:B,2,0)</f>
        <v>0</v>
      </c>
      <c r="D344" s="1">
        <v>7.9899999999999999E-2</v>
      </c>
      <c r="E344" s="1">
        <v>0</v>
      </c>
      <c r="F344">
        <v>0.98</v>
      </c>
      <c r="G344" s="2">
        <v>1338920000</v>
      </c>
      <c r="H344">
        <v>0</v>
      </c>
      <c r="I344">
        <v>4</v>
      </c>
      <c r="J344">
        <v>327.63</v>
      </c>
      <c r="K344">
        <v>27.64</v>
      </c>
      <c r="L344" s="1">
        <v>8.4400000000000003E-2</v>
      </c>
      <c r="M344" s="1">
        <v>0</v>
      </c>
      <c r="N344" s="4">
        <f t="shared" si="31"/>
        <v>0</v>
      </c>
      <c r="O344" s="5">
        <f t="shared" si="32"/>
        <v>0</v>
      </c>
      <c r="P344" t="e">
        <f t="shared" si="33"/>
        <v>#DIV/0!</v>
      </c>
      <c r="Q344" s="6" t="e">
        <f t="shared" si="34"/>
        <v>#DIV/0!</v>
      </c>
      <c r="R344" s="6" t="e">
        <f t="shared" si="35"/>
        <v>#DIV/0!</v>
      </c>
      <c r="S344" t="str">
        <f t="shared" si="36"/>
        <v>Bom</v>
      </c>
    </row>
    <row r="345" spans="1:19" x14ac:dyDescent="0.3">
      <c r="A345" t="s">
        <v>188</v>
      </c>
      <c r="B345" t="s">
        <v>23</v>
      </c>
      <c r="C345" s="5">
        <f>VLOOKUP(A345,Dim!A:B,2,0)</f>
        <v>0</v>
      </c>
      <c r="D345" s="1">
        <v>0.12039999999999999</v>
      </c>
      <c r="E345" s="1">
        <v>0</v>
      </c>
      <c r="F345">
        <v>0.89</v>
      </c>
      <c r="G345" s="2">
        <v>24981100</v>
      </c>
      <c r="H345">
        <v>0</v>
      </c>
      <c r="I345">
        <v>0</v>
      </c>
      <c r="J345">
        <v>0</v>
      </c>
      <c r="K345">
        <v>0</v>
      </c>
      <c r="L345" s="1">
        <v>0</v>
      </c>
      <c r="M345" s="1">
        <v>0</v>
      </c>
      <c r="N345" s="4">
        <f t="shared" si="31"/>
        <v>0</v>
      </c>
      <c r="O345" s="5">
        <f t="shared" si="32"/>
        <v>0</v>
      </c>
      <c r="P345" t="e">
        <f t="shared" si="33"/>
        <v>#DIV/0!</v>
      </c>
      <c r="Q345" s="6" t="e">
        <f t="shared" si="34"/>
        <v>#DIV/0!</v>
      </c>
      <c r="R345" s="6" t="e">
        <f t="shared" si="35"/>
        <v>#DIV/0!</v>
      </c>
      <c r="S345" t="str">
        <f t="shared" si="36"/>
        <v>Bom</v>
      </c>
    </row>
    <row r="346" spans="1:19" x14ac:dyDescent="0.3">
      <c r="A346" t="s">
        <v>192</v>
      </c>
      <c r="B346" t="s">
        <v>14</v>
      </c>
      <c r="C346" s="5">
        <f>VLOOKUP(A346,Dim!A:B,2,0)</f>
        <v>0</v>
      </c>
      <c r="D346" s="1">
        <v>0.1139</v>
      </c>
      <c r="E346" s="1">
        <v>0</v>
      </c>
      <c r="F346">
        <v>1.36</v>
      </c>
      <c r="G346" s="2">
        <v>79040000</v>
      </c>
      <c r="H346">
        <v>0</v>
      </c>
      <c r="I346">
        <v>1</v>
      </c>
      <c r="J346">
        <v>0</v>
      </c>
      <c r="K346">
        <v>725.37</v>
      </c>
      <c r="L346" s="1">
        <v>0</v>
      </c>
      <c r="M346" s="1">
        <v>0</v>
      </c>
      <c r="N346" s="4">
        <f t="shared" si="31"/>
        <v>0</v>
      </c>
      <c r="O346" s="5">
        <f t="shared" si="32"/>
        <v>0</v>
      </c>
      <c r="P346" t="e">
        <f t="shared" si="33"/>
        <v>#DIV/0!</v>
      </c>
      <c r="Q346" s="6" t="e">
        <f t="shared" si="34"/>
        <v>#DIV/0!</v>
      </c>
      <c r="R346" s="6" t="e">
        <f t="shared" si="35"/>
        <v>#DIV/0!</v>
      </c>
      <c r="S346" t="str">
        <f t="shared" si="36"/>
        <v>Bom</v>
      </c>
    </row>
    <row r="347" spans="1:19" x14ac:dyDescent="0.3">
      <c r="A347" t="s">
        <v>369</v>
      </c>
      <c r="B347" t="s">
        <v>14</v>
      </c>
      <c r="C347" s="5">
        <f>VLOOKUP(A347,Dim!A:B,2,0)</f>
        <v>88.16</v>
      </c>
      <c r="D347" s="1">
        <v>0.1109</v>
      </c>
      <c r="E347" s="1">
        <v>0.1128</v>
      </c>
      <c r="F347">
        <v>1</v>
      </c>
      <c r="G347" s="2">
        <v>86036000</v>
      </c>
      <c r="H347" s="2">
        <v>10003</v>
      </c>
      <c r="I347">
        <v>0</v>
      </c>
      <c r="J347">
        <v>0</v>
      </c>
      <c r="K347">
        <v>0</v>
      </c>
      <c r="L347" s="1">
        <v>0</v>
      </c>
      <c r="M347" s="1">
        <v>0</v>
      </c>
      <c r="N347" s="4">
        <f t="shared" si="31"/>
        <v>9.4000000000000004E-3</v>
      </c>
      <c r="O347" s="5">
        <f t="shared" si="32"/>
        <v>0.828704</v>
      </c>
      <c r="P347">
        <f t="shared" si="33"/>
        <v>108</v>
      </c>
      <c r="Q347" s="6">
        <f t="shared" si="34"/>
        <v>9521.2799999999988</v>
      </c>
      <c r="R347" s="6">
        <f t="shared" si="35"/>
        <v>89.500032000000004</v>
      </c>
      <c r="S347" t="str">
        <f t="shared" si="36"/>
        <v>Alerta</v>
      </c>
    </row>
    <row r="348" spans="1:19" x14ac:dyDescent="0.3">
      <c r="A348" t="s">
        <v>198</v>
      </c>
      <c r="B348" t="s">
        <v>47</v>
      </c>
      <c r="C348" s="5">
        <f>VLOOKUP(A348,Dim!A:B,2,0)</f>
        <v>0</v>
      </c>
      <c r="D348" s="1">
        <v>5.7200000000000001E-2</v>
      </c>
      <c r="E348" s="1">
        <v>0</v>
      </c>
      <c r="F348">
        <v>24.38</v>
      </c>
      <c r="G348" s="2">
        <v>156199000</v>
      </c>
      <c r="H348">
        <v>0</v>
      </c>
      <c r="I348">
        <v>1</v>
      </c>
      <c r="J348">
        <v>0</v>
      </c>
      <c r="K348">
        <v>183</v>
      </c>
      <c r="L348" s="1">
        <v>0</v>
      </c>
      <c r="M348" s="1">
        <v>3.6900000000000002E-2</v>
      </c>
      <c r="N348" s="4">
        <f t="shared" si="31"/>
        <v>0</v>
      </c>
      <c r="O348" s="5">
        <f t="shared" si="32"/>
        <v>0</v>
      </c>
      <c r="P348" t="e">
        <f t="shared" si="33"/>
        <v>#DIV/0!</v>
      </c>
      <c r="Q348" s="6" t="e">
        <f t="shared" si="34"/>
        <v>#DIV/0!</v>
      </c>
      <c r="R348" s="6" t="e">
        <f t="shared" si="35"/>
        <v>#DIV/0!</v>
      </c>
      <c r="S348" t="str">
        <f t="shared" si="36"/>
        <v>Bom</v>
      </c>
    </row>
    <row r="349" spans="1:19" x14ac:dyDescent="0.3">
      <c r="A349" t="s">
        <v>371</v>
      </c>
      <c r="B349" t="s">
        <v>16</v>
      </c>
      <c r="C349" s="5">
        <f>VLOOKUP(A349,Dim!A:B,2,0)</f>
        <v>101.98</v>
      </c>
      <c r="D349" s="1">
        <v>0.1439</v>
      </c>
      <c r="E349" s="1">
        <v>9.8699999999999996E-2</v>
      </c>
      <c r="F349">
        <v>0.82</v>
      </c>
      <c r="G349" s="2">
        <v>1405760000</v>
      </c>
      <c r="H349" s="2">
        <v>2638050</v>
      </c>
      <c r="I349">
        <v>11</v>
      </c>
      <c r="J349" s="3">
        <v>4638.83</v>
      </c>
      <c r="K349">
        <v>762</v>
      </c>
      <c r="L349" s="1">
        <v>0.1643</v>
      </c>
      <c r="M349" s="1">
        <v>3.6400000000000002E-2</v>
      </c>
      <c r="N349" s="4">
        <f t="shared" si="31"/>
        <v>8.2249999999999997E-3</v>
      </c>
      <c r="O349" s="5">
        <f t="shared" si="32"/>
        <v>0.83878549999999996</v>
      </c>
      <c r="P349">
        <f t="shared" si="33"/>
        <v>123</v>
      </c>
      <c r="Q349" s="6">
        <f t="shared" si="34"/>
        <v>12543.54</v>
      </c>
      <c r="R349" s="6">
        <f t="shared" si="35"/>
        <v>103.17061649999999</v>
      </c>
      <c r="S349" t="str">
        <f t="shared" si="36"/>
        <v>Bom</v>
      </c>
    </row>
    <row r="350" spans="1:19" x14ac:dyDescent="0.3">
      <c r="A350" t="s">
        <v>372</v>
      </c>
      <c r="B350" t="s">
        <v>37</v>
      </c>
      <c r="C350" s="5">
        <f>VLOOKUP(A350,Dim!A:B,2,0)</f>
        <v>46.76</v>
      </c>
      <c r="D350" s="1">
        <v>-4.8999999999999998E-3</v>
      </c>
      <c r="E350" s="1">
        <v>0.17230000000000001</v>
      </c>
      <c r="F350">
        <v>1.01</v>
      </c>
      <c r="G350" s="2">
        <v>23380000</v>
      </c>
      <c r="H350" s="2">
        <v>7793</v>
      </c>
      <c r="I350">
        <v>1</v>
      </c>
      <c r="J350">
        <v>0</v>
      </c>
      <c r="K350">
        <v>0</v>
      </c>
      <c r="L350" s="1">
        <v>0</v>
      </c>
      <c r="M350" s="1">
        <v>0</v>
      </c>
      <c r="N350" s="4">
        <f t="shared" si="31"/>
        <v>1.4358333333333334E-2</v>
      </c>
      <c r="O350" s="5">
        <f t="shared" si="32"/>
        <v>0.67139566666666672</v>
      </c>
      <c r="P350">
        <f t="shared" si="33"/>
        <v>71</v>
      </c>
      <c r="Q350" s="6">
        <f t="shared" si="34"/>
        <v>3319.96</v>
      </c>
      <c r="R350" s="6">
        <f t="shared" si="35"/>
        <v>47.669092333333339</v>
      </c>
      <c r="S350" t="str">
        <f t="shared" si="36"/>
        <v>Alerta</v>
      </c>
    </row>
    <row r="351" spans="1:19" x14ac:dyDescent="0.3">
      <c r="A351" t="s">
        <v>373</v>
      </c>
      <c r="B351" t="s">
        <v>19</v>
      </c>
      <c r="C351" s="5">
        <f>VLOOKUP(A351,Dim!A:B,2,0)</f>
        <v>1000</v>
      </c>
      <c r="D351" s="1">
        <v>-3.0000000000000001E-3</v>
      </c>
      <c r="E351" s="1">
        <v>0</v>
      </c>
      <c r="F351">
        <v>0.94</v>
      </c>
      <c r="G351" s="2">
        <v>144332000</v>
      </c>
      <c r="H351" s="2">
        <v>545723</v>
      </c>
      <c r="I351">
        <v>0</v>
      </c>
      <c r="J351">
        <v>0</v>
      </c>
      <c r="K351">
        <v>0</v>
      </c>
      <c r="L351" s="1">
        <v>0</v>
      </c>
      <c r="M351" s="1">
        <v>0</v>
      </c>
      <c r="N351" s="4">
        <f t="shared" si="31"/>
        <v>0</v>
      </c>
      <c r="O351" s="5">
        <f t="shared" si="32"/>
        <v>0</v>
      </c>
      <c r="P351" t="e">
        <f t="shared" si="33"/>
        <v>#DIV/0!</v>
      </c>
      <c r="Q351" s="6" t="e">
        <f t="shared" si="34"/>
        <v>#DIV/0!</v>
      </c>
      <c r="R351" s="6" t="e">
        <f t="shared" si="35"/>
        <v>#DIV/0!</v>
      </c>
      <c r="S351" t="str">
        <f t="shared" si="36"/>
        <v>Alerta</v>
      </c>
    </row>
    <row r="352" spans="1:19" x14ac:dyDescent="0.3">
      <c r="A352" t="s">
        <v>374</v>
      </c>
      <c r="B352" t="s">
        <v>19</v>
      </c>
      <c r="C352" s="5">
        <f>VLOOKUP(A352,Dim!A:B,2,0)</f>
        <v>48</v>
      </c>
      <c r="D352" s="1">
        <v>2.98E-2</v>
      </c>
      <c r="E352" s="1">
        <v>0</v>
      </c>
      <c r="F352">
        <v>1.31</v>
      </c>
      <c r="G352" s="2">
        <v>43095200</v>
      </c>
      <c r="H352" s="2">
        <v>522125</v>
      </c>
      <c r="I352">
        <v>0</v>
      </c>
      <c r="J352">
        <v>0</v>
      </c>
      <c r="K352">
        <v>0</v>
      </c>
      <c r="L352" s="1">
        <v>0</v>
      </c>
      <c r="M352" s="1">
        <v>0</v>
      </c>
      <c r="N352" s="4">
        <f t="shared" si="31"/>
        <v>0</v>
      </c>
      <c r="O352" s="5">
        <f t="shared" si="32"/>
        <v>0</v>
      </c>
      <c r="P352" t="e">
        <f t="shared" si="33"/>
        <v>#DIV/0!</v>
      </c>
      <c r="Q352" s="6" t="e">
        <f t="shared" si="34"/>
        <v>#DIV/0!</v>
      </c>
      <c r="R352" s="6" t="e">
        <f t="shared" si="35"/>
        <v>#DIV/0!</v>
      </c>
      <c r="S352" t="str">
        <f t="shared" si="36"/>
        <v>Bom</v>
      </c>
    </row>
    <row r="353" spans="1:19" x14ac:dyDescent="0.3">
      <c r="A353" t="s">
        <v>375</v>
      </c>
      <c r="B353" t="s">
        <v>19</v>
      </c>
      <c r="C353" s="5">
        <f>VLOOKUP(A353,Dim!A:B,2,0)</f>
        <v>60</v>
      </c>
      <c r="D353" s="1">
        <v>5.7200000000000001E-2</v>
      </c>
      <c r="E353" s="1">
        <v>7.0400000000000004E-2</v>
      </c>
      <c r="F353">
        <v>1.43</v>
      </c>
      <c r="G353" s="2">
        <v>24606000</v>
      </c>
      <c r="H353">
        <v>0</v>
      </c>
      <c r="I353">
        <v>3</v>
      </c>
      <c r="J353" s="3">
        <v>10246.9</v>
      </c>
      <c r="K353">
        <v>0</v>
      </c>
      <c r="L353" s="1">
        <v>0</v>
      </c>
      <c r="M353" s="1">
        <v>0</v>
      </c>
      <c r="N353" s="4">
        <f t="shared" si="31"/>
        <v>5.8666666666666667E-3</v>
      </c>
      <c r="O353" s="5">
        <f t="shared" si="32"/>
        <v>0.35199999999999998</v>
      </c>
      <c r="P353">
        <f t="shared" si="33"/>
        <v>172</v>
      </c>
      <c r="Q353" s="6">
        <f t="shared" si="34"/>
        <v>10320</v>
      </c>
      <c r="R353" s="6">
        <f t="shared" si="35"/>
        <v>60.543999999999997</v>
      </c>
      <c r="S353" t="str">
        <f t="shared" si="36"/>
        <v>Alerta</v>
      </c>
    </row>
    <row r="354" spans="1:19" x14ac:dyDescent="0.3">
      <c r="A354" t="s">
        <v>202</v>
      </c>
      <c r="B354" t="s">
        <v>47</v>
      </c>
      <c r="C354" s="5">
        <f>VLOOKUP(A354,Dim!A:B,2,0)</f>
        <v>0</v>
      </c>
      <c r="D354" s="1">
        <v>0.13750000000000001</v>
      </c>
      <c r="E354" s="1">
        <v>0</v>
      </c>
      <c r="F354">
        <v>0.7</v>
      </c>
      <c r="G354" s="2">
        <v>459000000</v>
      </c>
      <c r="H354">
        <v>0</v>
      </c>
      <c r="I354">
        <v>5</v>
      </c>
      <c r="J354" s="3">
        <v>2714.27</v>
      </c>
      <c r="K354">
        <v>318.12</v>
      </c>
      <c r="L354" s="1">
        <v>0.1172</v>
      </c>
      <c r="M354" s="1">
        <v>1.6899999999999998E-2</v>
      </c>
      <c r="N354" s="4">
        <f t="shared" si="31"/>
        <v>0</v>
      </c>
      <c r="O354" s="5">
        <f t="shared" si="32"/>
        <v>0</v>
      </c>
      <c r="P354" t="e">
        <f t="shared" si="33"/>
        <v>#DIV/0!</v>
      </c>
      <c r="Q354" s="6" t="e">
        <f t="shared" si="34"/>
        <v>#DIV/0!</v>
      </c>
      <c r="R354" s="6" t="e">
        <f t="shared" si="35"/>
        <v>#DIV/0!</v>
      </c>
      <c r="S354" t="str">
        <f t="shared" si="36"/>
        <v>Bom</v>
      </c>
    </row>
    <row r="355" spans="1:19" x14ac:dyDescent="0.3">
      <c r="A355" t="s">
        <v>377</v>
      </c>
      <c r="B355" t="s">
        <v>47</v>
      </c>
      <c r="C355" s="5">
        <f>VLOOKUP(A355,Dim!A:B,2,0)</f>
        <v>54.98</v>
      </c>
      <c r="D355" s="1">
        <v>0.10299999999999999</v>
      </c>
      <c r="E355" s="1">
        <v>0.1003</v>
      </c>
      <c r="F355">
        <v>1</v>
      </c>
      <c r="G355" s="2">
        <v>774731000</v>
      </c>
      <c r="H355" s="2">
        <v>2120</v>
      </c>
      <c r="I355">
        <v>1</v>
      </c>
      <c r="J355" s="3">
        <v>12259.3</v>
      </c>
      <c r="K355" s="3">
        <v>1237.6300000000001</v>
      </c>
      <c r="L355" s="1">
        <v>0.10100000000000001</v>
      </c>
      <c r="M355" s="1">
        <v>0</v>
      </c>
      <c r="N355" s="4">
        <f t="shared" si="31"/>
        <v>8.3583333333333339E-3</v>
      </c>
      <c r="O355" s="5">
        <f t="shared" si="32"/>
        <v>0.45954116666666667</v>
      </c>
      <c r="P355">
        <f t="shared" si="33"/>
        <v>121</v>
      </c>
      <c r="Q355" s="6">
        <f t="shared" si="34"/>
        <v>6652.58</v>
      </c>
      <c r="R355" s="6">
        <f t="shared" si="35"/>
        <v>55.604481166666666</v>
      </c>
      <c r="S355" t="str">
        <f t="shared" si="36"/>
        <v>Bom</v>
      </c>
    </row>
    <row r="356" spans="1:19" x14ac:dyDescent="0.3">
      <c r="A356" t="s">
        <v>378</v>
      </c>
      <c r="B356" t="s">
        <v>16</v>
      </c>
      <c r="C356" s="5">
        <f>VLOOKUP(A356,Dim!A:B,2,0)</f>
        <v>2325</v>
      </c>
      <c r="D356" s="1">
        <v>0.10009999999999999</v>
      </c>
      <c r="E356" s="1">
        <v>9.8799999999999999E-2</v>
      </c>
      <c r="F356">
        <v>0.71</v>
      </c>
      <c r="G356" s="2">
        <v>247561000</v>
      </c>
      <c r="H356" s="2">
        <v>483219</v>
      </c>
      <c r="I356">
        <v>1</v>
      </c>
      <c r="J356" s="3">
        <v>1826.38</v>
      </c>
      <c r="K356">
        <v>218.65</v>
      </c>
      <c r="L356" s="1">
        <v>0.1197</v>
      </c>
      <c r="M356" s="1">
        <v>3.1199999999999999E-2</v>
      </c>
      <c r="N356" s="4">
        <f t="shared" si="31"/>
        <v>8.2333333333333338E-3</v>
      </c>
      <c r="O356" s="5">
        <f t="shared" si="32"/>
        <v>19.142500000000002</v>
      </c>
      <c r="P356">
        <f t="shared" si="33"/>
        <v>123</v>
      </c>
      <c r="Q356" s="6">
        <f t="shared" si="34"/>
        <v>285975</v>
      </c>
      <c r="R356" s="6">
        <f t="shared" si="35"/>
        <v>2354.5275000000001</v>
      </c>
      <c r="S356" t="str">
        <f t="shared" si="36"/>
        <v>Bom</v>
      </c>
    </row>
    <row r="357" spans="1:19" x14ac:dyDescent="0.3">
      <c r="A357" t="s">
        <v>204</v>
      </c>
      <c r="B357" t="s">
        <v>16</v>
      </c>
      <c r="C357" s="5">
        <f>VLOOKUP(A357,Dim!A:B,2,0)</f>
        <v>0</v>
      </c>
      <c r="D357" s="1">
        <v>0.1046</v>
      </c>
      <c r="E357" s="1">
        <v>0</v>
      </c>
      <c r="F357">
        <v>0.94</v>
      </c>
      <c r="G357" s="2">
        <v>122597000</v>
      </c>
      <c r="H357">
        <v>0</v>
      </c>
      <c r="I357">
        <v>2</v>
      </c>
      <c r="J357" s="3">
        <v>21746.7</v>
      </c>
      <c r="K357" s="3">
        <v>2369.56</v>
      </c>
      <c r="L357" s="1">
        <v>0.109</v>
      </c>
      <c r="M357" s="1">
        <v>9.7000000000000003E-2</v>
      </c>
      <c r="N357" s="4">
        <f t="shared" si="31"/>
        <v>0</v>
      </c>
      <c r="O357" s="5">
        <f t="shared" si="32"/>
        <v>0</v>
      </c>
      <c r="P357" t="e">
        <f t="shared" si="33"/>
        <v>#DIV/0!</v>
      </c>
      <c r="Q357" s="6" t="e">
        <f t="shared" si="34"/>
        <v>#DIV/0!</v>
      </c>
      <c r="R357" s="6" t="e">
        <f t="shared" si="35"/>
        <v>#DIV/0!</v>
      </c>
      <c r="S357" t="str">
        <f t="shared" si="36"/>
        <v>Bom</v>
      </c>
    </row>
    <row r="358" spans="1:19" x14ac:dyDescent="0.3">
      <c r="A358" t="s">
        <v>380</v>
      </c>
      <c r="B358" t="s">
        <v>28</v>
      </c>
      <c r="C358" s="5">
        <f>VLOOKUP(A358,Dim!A:B,2,0)</f>
        <v>34.99</v>
      </c>
      <c r="D358" s="1">
        <v>-0.27760000000000001</v>
      </c>
      <c r="E358" s="1">
        <v>0</v>
      </c>
      <c r="F358">
        <v>0.26</v>
      </c>
      <c r="G358" s="2">
        <v>8500800</v>
      </c>
      <c r="H358" s="2">
        <v>1563</v>
      </c>
      <c r="I358">
        <v>1</v>
      </c>
      <c r="J358">
        <v>844.83</v>
      </c>
      <c r="K358">
        <v>0</v>
      </c>
      <c r="L358" s="1">
        <v>0</v>
      </c>
      <c r="M358" s="1">
        <v>1</v>
      </c>
      <c r="N358" s="4">
        <f t="shared" si="31"/>
        <v>0</v>
      </c>
      <c r="O358" s="5">
        <f t="shared" si="32"/>
        <v>0</v>
      </c>
      <c r="P358" t="e">
        <f t="shared" si="33"/>
        <v>#DIV/0!</v>
      </c>
      <c r="Q358" s="6" t="e">
        <f t="shared" si="34"/>
        <v>#DIV/0!</v>
      </c>
      <c r="R358" s="6" t="e">
        <f t="shared" si="35"/>
        <v>#DIV/0!</v>
      </c>
      <c r="S358" t="str">
        <f t="shared" si="36"/>
        <v>Alerta</v>
      </c>
    </row>
    <row r="359" spans="1:19" x14ac:dyDescent="0.3">
      <c r="A359" t="s">
        <v>205</v>
      </c>
      <c r="B359" t="s">
        <v>16</v>
      </c>
      <c r="C359" s="5">
        <f>VLOOKUP(A359,Dim!A:B,2,0)</f>
        <v>0</v>
      </c>
      <c r="D359" s="1">
        <v>2.8000000000000001E-2</v>
      </c>
      <c r="E359" s="1">
        <v>0</v>
      </c>
      <c r="F359">
        <v>0.74</v>
      </c>
      <c r="G359" s="2">
        <v>67231200</v>
      </c>
      <c r="H359">
        <v>0</v>
      </c>
      <c r="I359">
        <v>0</v>
      </c>
      <c r="J359">
        <v>0</v>
      </c>
      <c r="K359">
        <v>0</v>
      </c>
      <c r="L359" s="1">
        <v>4.2099999999999999E-2</v>
      </c>
      <c r="M359" s="1">
        <v>0</v>
      </c>
      <c r="N359" s="4">
        <f t="shared" si="31"/>
        <v>0</v>
      </c>
      <c r="O359" s="5">
        <f t="shared" si="32"/>
        <v>0</v>
      </c>
      <c r="P359" t="e">
        <f t="shared" si="33"/>
        <v>#DIV/0!</v>
      </c>
      <c r="Q359" s="6" t="e">
        <f t="shared" si="34"/>
        <v>#DIV/0!</v>
      </c>
      <c r="R359" s="6" t="e">
        <f t="shared" si="35"/>
        <v>#DIV/0!</v>
      </c>
      <c r="S359" t="str">
        <f t="shared" si="36"/>
        <v>Bom</v>
      </c>
    </row>
    <row r="360" spans="1:19" x14ac:dyDescent="0.3">
      <c r="A360" t="s">
        <v>221</v>
      </c>
      <c r="B360" t="s">
        <v>14</v>
      </c>
      <c r="C360" s="5">
        <f>VLOOKUP(A360,Dim!A:B,2,0)</f>
        <v>0</v>
      </c>
      <c r="D360" s="1">
        <v>0.14460000000000001</v>
      </c>
      <c r="E360" s="1">
        <v>0.16719999999999999</v>
      </c>
      <c r="F360">
        <v>0.77</v>
      </c>
      <c r="G360" s="2">
        <v>178631000</v>
      </c>
      <c r="H360" s="2">
        <v>34500</v>
      </c>
      <c r="I360">
        <v>0</v>
      </c>
      <c r="J360">
        <v>0</v>
      </c>
      <c r="K360">
        <v>0</v>
      </c>
      <c r="L360" s="1">
        <v>0</v>
      </c>
      <c r="M360" s="1">
        <v>0</v>
      </c>
      <c r="N360" s="4">
        <f t="shared" si="31"/>
        <v>1.3933333333333332E-2</v>
      </c>
      <c r="O360" s="5">
        <f t="shared" si="32"/>
        <v>0</v>
      </c>
      <c r="P360" t="e">
        <f t="shared" si="33"/>
        <v>#DIV/0!</v>
      </c>
      <c r="Q360" s="6" t="e">
        <f t="shared" si="34"/>
        <v>#DIV/0!</v>
      </c>
      <c r="R360" s="6" t="e">
        <f t="shared" si="35"/>
        <v>#DIV/0!</v>
      </c>
      <c r="S360" t="str">
        <f t="shared" si="36"/>
        <v>Alerta</v>
      </c>
    </row>
    <row r="361" spans="1:19" x14ac:dyDescent="0.3">
      <c r="A361" t="s">
        <v>383</v>
      </c>
      <c r="B361" t="s">
        <v>28</v>
      </c>
      <c r="C361" s="5">
        <f>VLOOKUP(A361,Dim!A:B,2,0)</f>
        <v>74.010000000000005</v>
      </c>
      <c r="D361" s="1">
        <v>8.3599999999999994E-2</v>
      </c>
      <c r="E361" s="1">
        <v>7.9000000000000001E-2</v>
      </c>
      <c r="F361">
        <v>0.71</v>
      </c>
      <c r="G361" s="2">
        <v>2080880000</v>
      </c>
      <c r="H361" s="2">
        <v>4942240</v>
      </c>
      <c r="I361">
        <v>7</v>
      </c>
      <c r="J361" s="3">
        <v>19879.400000000001</v>
      </c>
      <c r="K361" s="3">
        <v>1759.41</v>
      </c>
      <c r="L361" s="1">
        <v>8.8499999999999995E-2</v>
      </c>
      <c r="M361" s="1">
        <v>0.21479999999999999</v>
      </c>
      <c r="N361" s="4">
        <f t="shared" si="31"/>
        <v>6.5833333333333334E-3</v>
      </c>
      <c r="O361" s="5">
        <f t="shared" si="32"/>
        <v>0.48723250000000001</v>
      </c>
      <c r="P361">
        <f t="shared" si="33"/>
        <v>153</v>
      </c>
      <c r="Q361" s="6">
        <f t="shared" si="34"/>
        <v>11323.53</v>
      </c>
      <c r="R361" s="6">
        <f t="shared" si="35"/>
        <v>74.546572499999996</v>
      </c>
      <c r="S361" t="str">
        <f t="shared" si="36"/>
        <v>Bom</v>
      </c>
    </row>
    <row r="362" spans="1:19" x14ac:dyDescent="0.3">
      <c r="A362" t="s">
        <v>210</v>
      </c>
      <c r="B362" t="s">
        <v>19</v>
      </c>
      <c r="C362" s="5">
        <f>VLOOKUP(A362,Dim!A:B,2,0)</f>
        <v>0</v>
      </c>
      <c r="D362" s="1">
        <v>4.6300000000000001E-2</v>
      </c>
      <c r="E362" s="1">
        <v>0</v>
      </c>
      <c r="F362">
        <v>0.81</v>
      </c>
      <c r="G362" s="2">
        <v>256345000</v>
      </c>
      <c r="H362">
        <v>0</v>
      </c>
      <c r="I362">
        <v>5</v>
      </c>
      <c r="J362" s="3">
        <v>8349.82</v>
      </c>
      <c r="K362">
        <v>606.9</v>
      </c>
      <c r="L362" s="1">
        <v>7.2700000000000001E-2</v>
      </c>
      <c r="M362" s="1">
        <v>2.8299999999999999E-2</v>
      </c>
      <c r="N362" s="4">
        <f t="shared" si="31"/>
        <v>0</v>
      </c>
      <c r="O362" s="5">
        <f t="shared" si="32"/>
        <v>0</v>
      </c>
      <c r="P362" t="e">
        <f t="shared" si="33"/>
        <v>#DIV/0!</v>
      </c>
      <c r="Q362" s="6" t="e">
        <f t="shared" si="34"/>
        <v>#DIV/0!</v>
      </c>
      <c r="R362" s="6" t="e">
        <f t="shared" si="35"/>
        <v>#DIV/0!</v>
      </c>
      <c r="S362" t="str">
        <f t="shared" si="36"/>
        <v>Bom</v>
      </c>
    </row>
    <row r="363" spans="1:19" x14ac:dyDescent="0.3">
      <c r="A363" t="s">
        <v>211</v>
      </c>
      <c r="B363" t="s">
        <v>23</v>
      </c>
      <c r="C363" s="5">
        <f>VLOOKUP(A363,Dim!A:B,2,0)</f>
        <v>0</v>
      </c>
      <c r="D363" s="1">
        <v>6.5299999999999997E-2</v>
      </c>
      <c r="E363" s="1">
        <v>0</v>
      </c>
      <c r="F363">
        <v>1.19</v>
      </c>
      <c r="G363" s="2">
        <v>190126000</v>
      </c>
      <c r="H363">
        <v>0</v>
      </c>
      <c r="I363">
        <v>0</v>
      </c>
      <c r="J363">
        <v>0</v>
      </c>
      <c r="K363">
        <v>0</v>
      </c>
      <c r="L363" s="1">
        <v>0</v>
      </c>
      <c r="M363" s="1">
        <v>0</v>
      </c>
      <c r="N363" s="4">
        <f t="shared" si="31"/>
        <v>0</v>
      </c>
      <c r="O363" s="5">
        <f t="shared" si="32"/>
        <v>0</v>
      </c>
      <c r="P363" t="e">
        <f t="shared" si="33"/>
        <v>#DIV/0!</v>
      </c>
      <c r="Q363" s="6" t="e">
        <f t="shared" si="34"/>
        <v>#DIV/0!</v>
      </c>
      <c r="R363" s="6" t="e">
        <f t="shared" si="35"/>
        <v>#DIV/0!</v>
      </c>
      <c r="S363" t="str">
        <f t="shared" si="36"/>
        <v>Bom</v>
      </c>
    </row>
    <row r="364" spans="1:19" x14ac:dyDescent="0.3">
      <c r="A364" t="s">
        <v>223</v>
      </c>
      <c r="B364" t="s">
        <v>28</v>
      </c>
      <c r="C364" s="5">
        <f>VLOOKUP(A364,Dim!A:B,2,0)</f>
        <v>0</v>
      </c>
      <c r="D364" s="1">
        <v>9.5500000000000002E-2</v>
      </c>
      <c r="E364" s="1">
        <v>0</v>
      </c>
      <c r="F364">
        <v>0.55000000000000004</v>
      </c>
      <c r="G364" s="2">
        <v>335342000</v>
      </c>
      <c r="H364">
        <v>0</v>
      </c>
      <c r="I364">
        <v>2</v>
      </c>
      <c r="J364" s="3">
        <v>26273.599999999999</v>
      </c>
      <c r="K364" s="3">
        <v>2781.84</v>
      </c>
      <c r="L364" s="1">
        <v>0.10589999999999999</v>
      </c>
      <c r="M364" s="1">
        <v>3.4200000000000001E-2</v>
      </c>
      <c r="N364" s="4">
        <f t="shared" si="31"/>
        <v>0</v>
      </c>
      <c r="O364" s="5">
        <f t="shared" si="32"/>
        <v>0</v>
      </c>
      <c r="P364" t="e">
        <f t="shared" si="33"/>
        <v>#DIV/0!</v>
      </c>
      <c r="Q364" s="6" t="e">
        <f t="shared" si="34"/>
        <v>#DIV/0!</v>
      </c>
      <c r="R364" s="6" t="e">
        <f t="shared" si="35"/>
        <v>#DIV/0!</v>
      </c>
      <c r="S364" t="str">
        <f t="shared" si="36"/>
        <v>Bom</v>
      </c>
    </row>
    <row r="365" spans="1:19" x14ac:dyDescent="0.3">
      <c r="A365" t="s">
        <v>230</v>
      </c>
      <c r="B365" t="s">
        <v>16</v>
      </c>
      <c r="C365" s="5">
        <f>VLOOKUP(A365,Dim!A:B,2,0)</f>
        <v>0</v>
      </c>
      <c r="D365" s="1">
        <v>2.1700000000000001E-2</v>
      </c>
      <c r="E365" s="1">
        <v>0</v>
      </c>
      <c r="F365">
        <v>0.95</v>
      </c>
      <c r="G365" s="2">
        <v>86698800</v>
      </c>
      <c r="H365">
        <v>0</v>
      </c>
      <c r="I365">
        <v>0</v>
      </c>
      <c r="J365">
        <v>0</v>
      </c>
      <c r="K365">
        <v>0</v>
      </c>
      <c r="L365" s="1">
        <v>3.27E-2</v>
      </c>
      <c r="M365" s="1">
        <v>0</v>
      </c>
      <c r="N365" s="4">
        <f t="shared" si="31"/>
        <v>0</v>
      </c>
      <c r="O365" s="5">
        <f t="shared" si="32"/>
        <v>0</v>
      </c>
      <c r="P365" t="e">
        <f t="shared" si="33"/>
        <v>#DIV/0!</v>
      </c>
      <c r="Q365" s="6" t="e">
        <f t="shared" si="34"/>
        <v>#DIV/0!</v>
      </c>
      <c r="R365" s="6" t="e">
        <f t="shared" si="35"/>
        <v>#DIV/0!</v>
      </c>
      <c r="S365" t="str">
        <f t="shared" si="36"/>
        <v>Bom</v>
      </c>
    </row>
    <row r="366" spans="1:19" x14ac:dyDescent="0.3">
      <c r="A366" t="s">
        <v>253</v>
      </c>
      <c r="B366" t="s">
        <v>81</v>
      </c>
      <c r="C366" s="5">
        <f>VLOOKUP(A366,Dim!A:B,2,0)</f>
        <v>0</v>
      </c>
      <c r="D366" s="1">
        <v>-0.15049999999999999</v>
      </c>
      <c r="E366" s="1">
        <v>0.39600000000000002</v>
      </c>
      <c r="F366">
        <v>0</v>
      </c>
      <c r="G366" s="2">
        <v>1325040</v>
      </c>
      <c r="H366">
        <v>0</v>
      </c>
      <c r="I366">
        <v>0</v>
      </c>
      <c r="J366">
        <v>0</v>
      </c>
      <c r="K366">
        <v>0</v>
      </c>
      <c r="L366" s="1">
        <v>0</v>
      </c>
      <c r="M366" s="1">
        <v>0</v>
      </c>
      <c r="N366" s="4">
        <f t="shared" si="31"/>
        <v>3.3000000000000002E-2</v>
      </c>
      <c r="O366" s="5">
        <f t="shared" si="32"/>
        <v>0</v>
      </c>
      <c r="P366" t="e">
        <f t="shared" si="33"/>
        <v>#DIV/0!</v>
      </c>
      <c r="Q366" s="6" t="e">
        <f t="shared" si="34"/>
        <v>#DIV/0!</v>
      </c>
      <c r="R366" s="6" t="e">
        <f t="shared" si="35"/>
        <v>#DIV/0!</v>
      </c>
      <c r="S366" t="str">
        <f t="shared" si="36"/>
        <v>Alerta</v>
      </c>
    </row>
    <row r="367" spans="1:19" x14ac:dyDescent="0.3">
      <c r="A367" t="s">
        <v>250</v>
      </c>
      <c r="B367" t="s">
        <v>23</v>
      </c>
      <c r="C367" s="5">
        <f>VLOOKUP(A367,Dim!A:B,2,0)</f>
        <v>0</v>
      </c>
      <c r="D367" s="1">
        <v>8.2799999999999999E-2</v>
      </c>
      <c r="E367" s="1">
        <v>0</v>
      </c>
      <c r="F367">
        <v>0.93</v>
      </c>
      <c r="G367" s="2">
        <v>44267600</v>
      </c>
      <c r="H367">
        <v>0</v>
      </c>
      <c r="I367">
        <v>0</v>
      </c>
      <c r="J367">
        <v>0</v>
      </c>
      <c r="K367">
        <v>0</v>
      </c>
      <c r="L367" s="1">
        <v>0</v>
      </c>
      <c r="M367" s="1">
        <v>0</v>
      </c>
      <c r="N367" s="4">
        <f t="shared" si="31"/>
        <v>0</v>
      </c>
      <c r="O367" s="5">
        <f t="shared" si="32"/>
        <v>0</v>
      </c>
      <c r="P367" t="e">
        <f t="shared" si="33"/>
        <v>#DIV/0!</v>
      </c>
      <c r="Q367" s="6" t="e">
        <f t="shared" si="34"/>
        <v>#DIV/0!</v>
      </c>
      <c r="R367" s="6" t="e">
        <f t="shared" si="35"/>
        <v>#DIV/0!</v>
      </c>
      <c r="S367" t="str">
        <f t="shared" si="36"/>
        <v>Bom</v>
      </c>
    </row>
    <row r="368" spans="1:19" x14ac:dyDescent="0.3">
      <c r="A368" t="s">
        <v>252</v>
      </c>
      <c r="B368" t="s">
        <v>23</v>
      </c>
      <c r="C368" s="5">
        <f>VLOOKUP(A368,Dim!A:B,2,0)</f>
        <v>0</v>
      </c>
      <c r="D368" s="1">
        <v>0.1641</v>
      </c>
      <c r="E368" s="1">
        <v>0</v>
      </c>
      <c r="F368">
        <v>0.46</v>
      </c>
      <c r="G368" s="2">
        <v>4115850</v>
      </c>
      <c r="H368">
        <v>0</v>
      </c>
      <c r="I368">
        <v>2</v>
      </c>
      <c r="J368">
        <v>0</v>
      </c>
      <c r="K368">
        <v>0</v>
      </c>
      <c r="L368" s="1">
        <v>0</v>
      </c>
      <c r="M368" s="1">
        <v>0</v>
      </c>
      <c r="N368" s="4">
        <f t="shared" si="31"/>
        <v>0</v>
      </c>
      <c r="O368" s="5">
        <f t="shared" si="32"/>
        <v>0</v>
      </c>
      <c r="P368" t="e">
        <f t="shared" si="33"/>
        <v>#DIV/0!</v>
      </c>
      <c r="Q368" s="6" t="e">
        <f t="shared" si="34"/>
        <v>#DIV/0!</v>
      </c>
      <c r="R368" s="6" t="e">
        <f t="shared" si="35"/>
        <v>#DIV/0!</v>
      </c>
      <c r="S368" t="str">
        <f t="shared" si="36"/>
        <v>Bom</v>
      </c>
    </row>
    <row r="369" spans="1:19" x14ac:dyDescent="0.3">
      <c r="A369" t="s">
        <v>254</v>
      </c>
      <c r="B369" t="s">
        <v>14</v>
      </c>
      <c r="C369" s="5">
        <f>VLOOKUP(A369,Dim!A:B,2,0)</f>
        <v>0</v>
      </c>
      <c r="D369" s="1">
        <v>7.6600000000000001E-2</v>
      </c>
      <c r="E369" s="1">
        <v>0</v>
      </c>
      <c r="F369">
        <v>1.25</v>
      </c>
      <c r="G369" s="2">
        <v>59897000</v>
      </c>
      <c r="H369">
        <v>0</v>
      </c>
      <c r="I369">
        <v>0</v>
      </c>
      <c r="J369">
        <v>0</v>
      </c>
      <c r="K369">
        <v>0</v>
      </c>
      <c r="L369" s="1">
        <v>0</v>
      </c>
      <c r="M369" s="1">
        <v>0</v>
      </c>
      <c r="N369" s="4">
        <f t="shared" si="31"/>
        <v>0</v>
      </c>
      <c r="O369" s="5">
        <f t="shared" si="32"/>
        <v>0</v>
      </c>
      <c r="P369" t="e">
        <f t="shared" si="33"/>
        <v>#DIV/0!</v>
      </c>
      <c r="Q369" s="6" t="e">
        <f t="shared" si="34"/>
        <v>#DIV/0!</v>
      </c>
      <c r="R369" s="6" t="e">
        <f t="shared" si="35"/>
        <v>#DIV/0!</v>
      </c>
      <c r="S369" t="str">
        <f t="shared" si="36"/>
        <v>Bom</v>
      </c>
    </row>
    <row r="370" spans="1:19" x14ac:dyDescent="0.3">
      <c r="A370" t="s">
        <v>281</v>
      </c>
      <c r="B370" t="s">
        <v>37</v>
      </c>
      <c r="C370" s="5">
        <f>VLOOKUP(A370,Dim!A:B,2,0)</f>
        <v>0</v>
      </c>
      <c r="D370" s="1">
        <v>0</v>
      </c>
      <c r="E370" s="1">
        <v>0</v>
      </c>
      <c r="F370">
        <v>0</v>
      </c>
      <c r="G370">
        <v>0</v>
      </c>
      <c r="H370">
        <v>0</v>
      </c>
      <c r="I370">
        <v>1</v>
      </c>
      <c r="J370">
        <v>0</v>
      </c>
      <c r="K370">
        <v>0</v>
      </c>
      <c r="L370" s="1">
        <v>0</v>
      </c>
      <c r="M370" s="1">
        <v>0</v>
      </c>
      <c r="N370" s="4">
        <f t="shared" si="31"/>
        <v>0</v>
      </c>
      <c r="O370" s="5">
        <f t="shared" si="32"/>
        <v>0</v>
      </c>
      <c r="P370" t="e">
        <f t="shared" si="33"/>
        <v>#DIV/0!</v>
      </c>
      <c r="Q370" s="6" t="e">
        <f t="shared" si="34"/>
        <v>#DIV/0!</v>
      </c>
      <c r="R370" s="6" t="e">
        <f t="shared" si="35"/>
        <v>#DIV/0!</v>
      </c>
      <c r="S370" t="str">
        <f t="shared" si="36"/>
        <v>netro</v>
      </c>
    </row>
    <row r="371" spans="1:19" x14ac:dyDescent="0.3">
      <c r="A371" t="s">
        <v>393</v>
      </c>
      <c r="B371" t="s">
        <v>14</v>
      </c>
      <c r="C371" s="5">
        <f>VLOOKUP(A371,Dim!A:B,2,0)</f>
        <v>49.33</v>
      </c>
      <c r="D371" s="1">
        <v>0.1321</v>
      </c>
      <c r="E371" s="1">
        <v>0.12230000000000001</v>
      </c>
      <c r="F371">
        <v>0.8</v>
      </c>
      <c r="G371" s="2">
        <v>185961000</v>
      </c>
      <c r="H371" s="2">
        <v>608165</v>
      </c>
      <c r="I371">
        <v>0</v>
      </c>
      <c r="J371">
        <v>0</v>
      </c>
      <c r="K371">
        <v>0</v>
      </c>
      <c r="L371" s="1">
        <v>0</v>
      </c>
      <c r="M371" s="1">
        <v>0</v>
      </c>
      <c r="N371" s="4">
        <f t="shared" si="31"/>
        <v>1.0191666666666667E-2</v>
      </c>
      <c r="O371" s="5">
        <f t="shared" si="32"/>
        <v>0.50275491666666661</v>
      </c>
      <c r="P371">
        <f t="shared" si="33"/>
        <v>100</v>
      </c>
      <c r="Q371" s="6">
        <f t="shared" si="34"/>
        <v>4933</v>
      </c>
      <c r="R371" s="6">
        <f t="shared" si="35"/>
        <v>50.27549166666666</v>
      </c>
      <c r="S371" t="str">
        <f t="shared" si="36"/>
        <v>Bom</v>
      </c>
    </row>
    <row r="372" spans="1:19" x14ac:dyDescent="0.3">
      <c r="A372" t="s">
        <v>297</v>
      </c>
      <c r="B372" t="s">
        <v>37</v>
      </c>
      <c r="C372" s="5">
        <f>VLOOKUP(A372,Dim!A:B,2,0)</f>
        <v>0</v>
      </c>
      <c r="D372" s="1">
        <v>-0.1636</v>
      </c>
      <c r="E372" s="1">
        <v>0</v>
      </c>
      <c r="F372">
        <v>0.9</v>
      </c>
      <c r="G372" s="2">
        <v>1180230</v>
      </c>
      <c r="H372">
        <v>0</v>
      </c>
      <c r="I372">
        <v>0</v>
      </c>
      <c r="J372">
        <v>0</v>
      </c>
      <c r="K372">
        <v>0</v>
      </c>
      <c r="L372" s="1">
        <v>0</v>
      </c>
      <c r="M372" s="1">
        <v>0</v>
      </c>
      <c r="N372" s="4">
        <f t="shared" si="31"/>
        <v>0</v>
      </c>
      <c r="O372" s="5">
        <f t="shared" si="32"/>
        <v>0</v>
      </c>
      <c r="P372" t="e">
        <f t="shared" si="33"/>
        <v>#DIV/0!</v>
      </c>
      <c r="Q372" s="6" t="e">
        <f t="shared" si="34"/>
        <v>#DIV/0!</v>
      </c>
      <c r="R372" s="6" t="e">
        <f t="shared" si="35"/>
        <v>#DIV/0!</v>
      </c>
      <c r="S372" t="str">
        <f t="shared" si="36"/>
        <v>Alerta</v>
      </c>
    </row>
    <row r="373" spans="1:19" x14ac:dyDescent="0.3">
      <c r="A373" t="s">
        <v>395</v>
      </c>
      <c r="B373" t="s">
        <v>14</v>
      </c>
      <c r="C373" s="5">
        <f>VLOOKUP(A373,Dim!A:B,2,0)</f>
        <v>63.31</v>
      </c>
      <c r="D373" s="1">
        <v>0.10199999999999999</v>
      </c>
      <c r="E373" s="1">
        <v>0.152</v>
      </c>
      <c r="F373">
        <v>0.73</v>
      </c>
      <c r="G373" s="2">
        <v>137340000</v>
      </c>
      <c r="H373" s="2">
        <v>298914</v>
      </c>
      <c r="I373">
        <v>0</v>
      </c>
      <c r="J373">
        <v>0</v>
      </c>
      <c r="K373">
        <v>0</v>
      </c>
      <c r="L373" s="1">
        <v>0</v>
      </c>
      <c r="M373" s="1">
        <v>0</v>
      </c>
      <c r="N373" s="4">
        <f t="shared" si="31"/>
        <v>1.2666666666666666E-2</v>
      </c>
      <c r="O373" s="5">
        <f t="shared" si="32"/>
        <v>0.80192666666666668</v>
      </c>
      <c r="P373">
        <f t="shared" si="33"/>
        <v>80</v>
      </c>
      <c r="Q373" s="6">
        <f t="shared" si="34"/>
        <v>5064.8</v>
      </c>
      <c r="R373" s="6">
        <f t="shared" si="35"/>
        <v>64.154133333333334</v>
      </c>
      <c r="S373" t="str">
        <f t="shared" si="36"/>
        <v>Alerta</v>
      </c>
    </row>
    <row r="374" spans="1:19" x14ac:dyDescent="0.3">
      <c r="A374" t="s">
        <v>396</v>
      </c>
      <c r="B374" t="s">
        <v>14</v>
      </c>
      <c r="C374" s="5">
        <f>VLOOKUP(A374,Dim!A:B,2,0)</f>
        <v>75.41</v>
      </c>
      <c r="D374" s="1">
        <v>0.113</v>
      </c>
      <c r="E374" s="1">
        <v>0.16439999999999999</v>
      </c>
      <c r="F374">
        <v>0.82</v>
      </c>
      <c r="G374" s="2">
        <v>141918000</v>
      </c>
      <c r="H374" s="2">
        <v>303521</v>
      </c>
      <c r="I374">
        <v>0</v>
      </c>
      <c r="J374">
        <v>0</v>
      </c>
      <c r="K374">
        <v>0</v>
      </c>
      <c r="L374" s="1">
        <v>0</v>
      </c>
      <c r="M374" s="1">
        <v>0</v>
      </c>
      <c r="N374" s="4">
        <f t="shared" si="31"/>
        <v>1.3699999999999999E-2</v>
      </c>
      <c r="O374" s="5">
        <f t="shared" si="32"/>
        <v>1.0331169999999998</v>
      </c>
      <c r="P374">
        <f t="shared" si="33"/>
        <v>74</v>
      </c>
      <c r="Q374" s="6">
        <f t="shared" si="34"/>
        <v>5580.34</v>
      </c>
      <c r="R374" s="6">
        <f t="shared" si="35"/>
        <v>76.45065799999999</v>
      </c>
      <c r="S374" t="str">
        <f t="shared" si="36"/>
        <v>Alerta</v>
      </c>
    </row>
    <row r="375" spans="1:19" x14ac:dyDescent="0.3">
      <c r="A375" t="s">
        <v>397</v>
      </c>
      <c r="B375" t="s">
        <v>37</v>
      </c>
      <c r="C375" s="5">
        <f>VLOOKUP(A375,Dim!A:B,2,0)</f>
        <v>92.32</v>
      </c>
      <c r="D375" s="1">
        <v>7.5399999999999995E-2</v>
      </c>
      <c r="E375" s="1">
        <v>0.1105</v>
      </c>
      <c r="F375">
        <v>0.98</v>
      </c>
      <c r="G375" s="2">
        <v>143675000</v>
      </c>
      <c r="H375" s="2">
        <v>155681</v>
      </c>
      <c r="I375">
        <v>1</v>
      </c>
      <c r="J375" s="3">
        <v>57773.1</v>
      </c>
      <c r="K375">
        <v>0</v>
      </c>
      <c r="L375" s="1">
        <v>0</v>
      </c>
      <c r="M375" s="1">
        <v>0</v>
      </c>
      <c r="N375" s="4">
        <f t="shared" si="31"/>
        <v>9.208333333333334E-3</v>
      </c>
      <c r="O375" s="5">
        <f t="shared" si="32"/>
        <v>0.85011333333333328</v>
      </c>
      <c r="P375">
        <f t="shared" si="33"/>
        <v>110</v>
      </c>
      <c r="Q375" s="6">
        <f t="shared" si="34"/>
        <v>10155.199999999999</v>
      </c>
      <c r="R375" s="6">
        <f t="shared" si="35"/>
        <v>93.512466666666654</v>
      </c>
      <c r="S375" t="str">
        <f t="shared" si="36"/>
        <v>Alerta</v>
      </c>
    </row>
    <row r="376" spans="1:19" x14ac:dyDescent="0.3">
      <c r="A376" t="s">
        <v>298</v>
      </c>
      <c r="B376" t="s">
        <v>14</v>
      </c>
      <c r="C376" s="5">
        <f>VLOOKUP(A376,Dim!A:B,2,0)</f>
        <v>0</v>
      </c>
      <c r="D376" s="1">
        <v>-2.2364999999999999</v>
      </c>
      <c r="E376" s="1">
        <v>0</v>
      </c>
      <c r="F376">
        <v>0.04</v>
      </c>
      <c r="G376" s="2">
        <v>1396500</v>
      </c>
      <c r="H376" s="2">
        <v>30088</v>
      </c>
      <c r="I376">
        <v>51</v>
      </c>
      <c r="J376">
        <v>3.88</v>
      </c>
      <c r="K376">
        <v>0</v>
      </c>
      <c r="L376" s="1">
        <v>0</v>
      </c>
      <c r="M376" s="1">
        <v>0.99029999999999996</v>
      </c>
      <c r="N376" s="4">
        <f t="shared" si="31"/>
        <v>0</v>
      </c>
      <c r="O376" s="5">
        <f t="shared" si="32"/>
        <v>0</v>
      </c>
      <c r="P376" t="e">
        <f t="shared" si="33"/>
        <v>#DIV/0!</v>
      </c>
      <c r="Q376" s="6" t="e">
        <f t="shared" si="34"/>
        <v>#DIV/0!</v>
      </c>
      <c r="R376" s="6" t="e">
        <f t="shared" si="35"/>
        <v>#DIV/0!</v>
      </c>
      <c r="S376" t="str">
        <f t="shared" si="36"/>
        <v>Alerta</v>
      </c>
    </row>
    <row r="377" spans="1:19" x14ac:dyDescent="0.3">
      <c r="A377" t="s">
        <v>399</v>
      </c>
      <c r="B377" t="s">
        <v>47</v>
      </c>
      <c r="C377" s="5">
        <f>VLOOKUP(A377,Dim!A:B,2,0)</f>
        <v>54.99</v>
      </c>
      <c r="D377" s="1">
        <v>8.2400000000000001E-2</v>
      </c>
      <c r="E377" s="1">
        <v>8.8800000000000004E-2</v>
      </c>
      <c r="F377">
        <v>1.05</v>
      </c>
      <c r="G377" s="2">
        <v>43853600</v>
      </c>
      <c r="H377">
        <v>188</v>
      </c>
      <c r="I377">
        <v>1</v>
      </c>
      <c r="J377">
        <v>392.5</v>
      </c>
      <c r="K377">
        <v>28.93</v>
      </c>
      <c r="L377" s="1">
        <v>7.3700000000000002E-2</v>
      </c>
      <c r="M377" s="1">
        <v>0</v>
      </c>
      <c r="N377" s="4">
        <f t="shared" si="31"/>
        <v>7.4000000000000003E-3</v>
      </c>
      <c r="O377" s="5">
        <f t="shared" si="32"/>
        <v>0.40692600000000001</v>
      </c>
      <c r="P377">
        <f t="shared" si="33"/>
        <v>137</v>
      </c>
      <c r="Q377" s="6">
        <f t="shared" si="34"/>
        <v>7533.63</v>
      </c>
      <c r="R377" s="6">
        <f t="shared" si="35"/>
        <v>55.748862000000003</v>
      </c>
      <c r="S377" t="str">
        <f t="shared" si="36"/>
        <v>Alerta</v>
      </c>
    </row>
    <row r="378" spans="1:19" x14ac:dyDescent="0.3">
      <c r="A378" t="s">
        <v>400</v>
      </c>
      <c r="B378" t="s">
        <v>14</v>
      </c>
      <c r="C378" s="5">
        <f>VLOOKUP(A378,Dim!A:B,2,0)</f>
        <v>205.19</v>
      </c>
      <c r="D378" s="1">
        <v>5.5100000000000003E-2</v>
      </c>
      <c r="E378" s="1">
        <v>3.4700000000000002E-2</v>
      </c>
      <c r="F378">
        <v>0.28999999999999998</v>
      </c>
      <c r="G378" s="2">
        <v>20332800</v>
      </c>
      <c r="H378" s="2">
        <v>23153</v>
      </c>
      <c r="I378">
        <v>2</v>
      </c>
      <c r="J378" s="3">
        <v>1137.43</v>
      </c>
      <c r="K378">
        <v>164.89</v>
      </c>
      <c r="L378" s="1">
        <v>0.14499999999999999</v>
      </c>
      <c r="M378" s="1">
        <v>0.77990000000000004</v>
      </c>
      <c r="N378" s="4">
        <f t="shared" si="31"/>
        <v>2.891666666666667E-3</v>
      </c>
      <c r="O378" s="5">
        <f t="shared" si="32"/>
        <v>0.59334108333333335</v>
      </c>
      <c r="P378">
        <f t="shared" si="33"/>
        <v>347</v>
      </c>
      <c r="Q378" s="6">
        <f t="shared" si="34"/>
        <v>71200.929999999993</v>
      </c>
      <c r="R378" s="6">
        <f t="shared" si="35"/>
        <v>205.88935591666666</v>
      </c>
      <c r="S378" t="str">
        <f t="shared" si="36"/>
        <v>Bom</v>
      </c>
    </row>
    <row r="379" spans="1:19" x14ac:dyDescent="0.3">
      <c r="A379" t="s">
        <v>401</v>
      </c>
      <c r="B379" t="s">
        <v>19</v>
      </c>
      <c r="C379" s="5">
        <f>VLOOKUP(A379,Dim!A:B,2,0)</f>
        <v>40.39</v>
      </c>
      <c r="D379" s="1">
        <v>0.14630000000000001</v>
      </c>
      <c r="E379" s="1">
        <v>0.14480000000000001</v>
      </c>
      <c r="F379">
        <v>0.61</v>
      </c>
      <c r="G379" s="2">
        <v>74015900</v>
      </c>
      <c r="H379" s="2">
        <v>59042</v>
      </c>
      <c r="I379">
        <v>4</v>
      </c>
      <c r="J379" s="3">
        <v>2697.02</v>
      </c>
      <c r="K379">
        <v>419.95</v>
      </c>
      <c r="L379" s="1">
        <v>0.15570000000000001</v>
      </c>
      <c r="M379" s="1">
        <v>0.14019999999999999</v>
      </c>
      <c r="N379" s="4">
        <f t="shared" si="31"/>
        <v>1.2066666666666668E-2</v>
      </c>
      <c r="O379" s="5">
        <f t="shared" si="32"/>
        <v>0.48737266666666673</v>
      </c>
      <c r="P379">
        <f t="shared" si="33"/>
        <v>84</v>
      </c>
      <c r="Q379" s="6">
        <f t="shared" si="34"/>
        <v>3392.76</v>
      </c>
      <c r="R379" s="6">
        <f t="shared" si="35"/>
        <v>40.939304000000007</v>
      </c>
      <c r="S379" t="str">
        <f t="shared" si="36"/>
        <v>Bom</v>
      </c>
    </row>
    <row r="380" spans="1:19" x14ac:dyDescent="0.3">
      <c r="A380" t="s">
        <v>255</v>
      </c>
      <c r="B380" t="s">
        <v>14</v>
      </c>
      <c r="C380" s="5">
        <f>VLOOKUP(A380,Dim!A:B,2,0)</f>
        <v>0</v>
      </c>
      <c r="D380" s="1">
        <v>0.12859999999999999</v>
      </c>
      <c r="E380" s="1">
        <v>0</v>
      </c>
      <c r="F380">
        <v>1.04</v>
      </c>
      <c r="G380" s="2">
        <v>64817600</v>
      </c>
      <c r="H380">
        <v>0</v>
      </c>
      <c r="I380">
        <v>0</v>
      </c>
      <c r="J380">
        <v>0</v>
      </c>
      <c r="K380">
        <v>0</v>
      </c>
      <c r="L380" s="1">
        <v>0</v>
      </c>
      <c r="M380" s="1">
        <v>0</v>
      </c>
      <c r="N380" s="4">
        <f t="shared" si="31"/>
        <v>0</v>
      </c>
      <c r="O380" s="5">
        <f t="shared" si="32"/>
        <v>0</v>
      </c>
      <c r="P380" t="e">
        <f t="shared" si="33"/>
        <v>#DIV/0!</v>
      </c>
      <c r="Q380" s="6" t="e">
        <f t="shared" si="34"/>
        <v>#DIV/0!</v>
      </c>
      <c r="R380" s="6" t="e">
        <f t="shared" si="35"/>
        <v>#DIV/0!</v>
      </c>
      <c r="S380" t="str">
        <f t="shared" si="36"/>
        <v>Bom</v>
      </c>
    </row>
    <row r="381" spans="1:19" x14ac:dyDescent="0.3">
      <c r="A381" t="s">
        <v>403</v>
      </c>
      <c r="B381" t="s">
        <v>14</v>
      </c>
      <c r="C381" s="5">
        <f>VLOOKUP(A381,Dim!A:B,2,0)</f>
        <v>944.99</v>
      </c>
      <c r="D381" s="1">
        <v>0.38109999999999999</v>
      </c>
      <c r="E381" s="1">
        <v>0.2041</v>
      </c>
      <c r="F381">
        <v>1.56</v>
      </c>
      <c r="G381" s="2">
        <v>131982000</v>
      </c>
      <c r="H381" s="2">
        <v>1865</v>
      </c>
      <c r="I381">
        <v>0</v>
      </c>
      <c r="J381">
        <v>0</v>
      </c>
      <c r="K381">
        <v>0</v>
      </c>
      <c r="L381" s="1">
        <v>0</v>
      </c>
      <c r="M381" s="1">
        <v>0</v>
      </c>
      <c r="N381" s="4">
        <f t="shared" si="31"/>
        <v>1.7008333333333334E-2</v>
      </c>
      <c r="O381" s="5">
        <f t="shared" si="32"/>
        <v>16.072704916666666</v>
      </c>
      <c r="P381">
        <f t="shared" si="33"/>
        <v>60</v>
      </c>
      <c r="Q381" s="6">
        <f t="shared" si="34"/>
        <v>56699.4</v>
      </c>
      <c r="R381" s="6">
        <f t="shared" si="35"/>
        <v>964.3622949999999</v>
      </c>
      <c r="S381" t="str">
        <f t="shared" si="36"/>
        <v>Bom</v>
      </c>
    </row>
    <row r="382" spans="1:19" x14ac:dyDescent="0.3">
      <c r="A382" t="s">
        <v>404</v>
      </c>
      <c r="B382" t="s">
        <v>47</v>
      </c>
      <c r="C382" s="5">
        <f>VLOOKUP(A382,Dim!A:B,2,0)</f>
        <v>86.16</v>
      </c>
      <c r="D382" s="1">
        <v>8.9499999999999996E-2</v>
      </c>
      <c r="E382" s="1">
        <v>0.1052</v>
      </c>
      <c r="F382">
        <v>0.81</v>
      </c>
      <c r="G382" s="2">
        <v>568398000</v>
      </c>
      <c r="H382" s="2">
        <v>614686</v>
      </c>
      <c r="I382">
        <v>5</v>
      </c>
      <c r="J382" s="3">
        <v>2239.83</v>
      </c>
      <c r="K382">
        <v>267.94</v>
      </c>
      <c r="L382" s="1">
        <v>0.1196</v>
      </c>
      <c r="M382" s="1">
        <v>0</v>
      </c>
      <c r="N382" s="4">
        <f t="shared" si="31"/>
        <v>8.7666666666666674E-3</v>
      </c>
      <c r="O382" s="5">
        <f t="shared" si="32"/>
        <v>0.75533600000000001</v>
      </c>
      <c r="P382">
        <f t="shared" si="33"/>
        <v>116</v>
      </c>
      <c r="Q382" s="6">
        <f t="shared" si="34"/>
        <v>9994.56</v>
      </c>
      <c r="R382" s="6">
        <f t="shared" si="35"/>
        <v>87.618976000000004</v>
      </c>
      <c r="S382" t="str">
        <f t="shared" si="36"/>
        <v>Alerta</v>
      </c>
    </row>
    <row r="383" spans="1:19" x14ac:dyDescent="0.3">
      <c r="A383" t="s">
        <v>302</v>
      </c>
      <c r="B383" t="s">
        <v>37</v>
      </c>
      <c r="C383" s="5">
        <f>VLOOKUP(A383,Dim!A:B,2,0)</f>
        <v>0</v>
      </c>
      <c r="D383" s="1">
        <v>-2.0500000000000001E-2</v>
      </c>
      <c r="E383" s="1">
        <v>0</v>
      </c>
      <c r="F383">
        <v>34.17</v>
      </c>
      <c r="G383" s="2">
        <v>58678800</v>
      </c>
      <c r="H383">
        <v>0</v>
      </c>
      <c r="I383">
        <v>2</v>
      </c>
      <c r="J383">
        <v>155.06</v>
      </c>
      <c r="K383">
        <v>0.21</v>
      </c>
      <c r="L383" s="1">
        <v>1.4E-3</v>
      </c>
      <c r="M383" s="1">
        <v>1</v>
      </c>
      <c r="N383" s="4">
        <f t="shared" si="31"/>
        <v>0</v>
      </c>
      <c r="O383" s="5">
        <f t="shared" si="32"/>
        <v>0</v>
      </c>
      <c r="P383" t="e">
        <f t="shared" si="33"/>
        <v>#DIV/0!</v>
      </c>
      <c r="Q383" s="6" t="e">
        <f t="shared" si="34"/>
        <v>#DIV/0!</v>
      </c>
      <c r="R383" s="6" t="e">
        <f t="shared" si="35"/>
        <v>#DIV/0!</v>
      </c>
      <c r="S383" t="str">
        <f t="shared" si="36"/>
        <v>Alerta</v>
      </c>
    </row>
    <row r="384" spans="1:19" x14ac:dyDescent="0.3">
      <c r="A384" t="s">
        <v>406</v>
      </c>
      <c r="B384" t="s">
        <v>14</v>
      </c>
      <c r="C384" s="5">
        <f>VLOOKUP(A384,Dim!A:B,2,0)</f>
        <v>51.7</v>
      </c>
      <c r="D384" s="1">
        <v>7.6499999999999999E-2</v>
      </c>
      <c r="E384" s="1">
        <v>0.1022</v>
      </c>
      <c r="F384">
        <v>0.66</v>
      </c>
      <c r="G384" s="2">
        <v>618459000</v>
      </c>
      <c r="H384" s="2">
        <v>884778</v>
      </c>
      <c r="I384">
        <v>6</v>
      </c>
      <c r="J384" s="3">
        <v>9791.92</v>
      </c>
      <c r="K384">
        <v>720.67</v>
      </c>
      <c r="L384" s="1">
        <v>7.3599999999999999E-2</v>
      </c>
      <c r="M384" s="1">
        <v>0.1565</v>
      </c>
      <c r="N384" s="4">
        <f t="shared" si="31"/>
        <v>8.5166666666666672E-3</v>
      </c>
      <c r="O384" s="5">
        <f t="shared" si="32"/>
        <v>0.44031166666666671</v>
      </c>
      <c r="P384">
        <f t="shared" si="33"/>
        <v>119</v>
      </c>
      <c r="Q384" s="6">
        <f t="shared" si="34"/>
        <v>6152.3</v>
      </c>
      <c r="R384" s="6">
        <f t="shared" si="35"/>
        <v>52.397088333333336</v>
      </c>
      <c r="S384" t="str">
        <f t="shared" si="36"/>
        <v>Alerta</v>
      </c>
    </row>
    <row r="385" spans="1:19" x14ac:dyDescent="0.3">
      <c r="A385" t="s">
        <v>407</v>
      </c>
      <c r="B385" t="s">
        <v>14</v>
      </c>
      <c r="C385" s="5">
        <f>VLOOKUP(A385,Dim!A:B,2,0)</f>
        <v>84.01</v>
      </c>
      <c r="D385" s="1">
        <v>0.11260000000000001</v>
      </c>
      <c r="E385" s="1">
        <v>0.125</v>
      </c>
      <c r="F385">
        <v>0.92</v>
      </c>
      <c r="G385" s="2">
        <v>1276850000</v>
      </c>
      <c r="H385" s="2">
        <v>2807930</v>
      </c>
      <c r="I385">
        <v>0</v>
      </c>
      <c r="J385">
        <v>0</v>
      </c>
      <c r="K385">
        <v>0</v>
      </c>
      <c r="L385" s="1">
        <v>0</v>
      </c>
      <c r="M385" s="1">
        <v>0</v>
      </c>
      <c r="N385" s="4">
        <f t="shared" si="31"/>
        <v>1.0416666666666666E-2</v>
      </c>
      <c r="O385" s="5">
        <f t="shared" si="32"/>
        <v>0.87510416666666668</v>
      </c>
      <c r="P385">
        <f t="shared" si="33"/>
        <v>97</v>
      </c>
      <c r="Q385" s="6">
        <f t="shared" si="34"/>
        <v>8148.97</v>
      </c>
      <c r="R385" s="6">
        <f t="shared" si="35"/>
        <v>84.885104166666665</v>
      </c>
      <c r="S385" t="str">
        <f t="shared" si="36"/>
        <v>Alerta</v>
      </c>
    </row>
    <row r="386" spans="1:19" x14ac:dyDescent="0.3">
      <c r="A386" t="s">
        <v>408</v>
      </c>
      <c r="B386" t="s">
        <v>37</v>
      </c>
      <c r="C386" s="5">
        <f>VLOOKUP(A386,Dim!A:B,2,0)</f>
        <v>43.63</v>
      </c>
      <c r="D386" s="1">
        <v>-2.5000000000000001E-3</v>
      </c>
      <c r="E386" s="1">
        <v>4.1399999999999999E-2</v>
      </c>
      <c r="F386">
        <v>0.45</v>
      </c>
      <c r="G386" s="2">
        <v>75615400</v>
      </c>
      <c r="H386" s="2">
        <v>183667</v>
      </c>
      <c r="I386">
        <v>3</v>
      </c>
      <c r="J386" s="3">
        <v>13001.8</v>
      </c>
      <c r="K386">
        <v>914.91</v>
      </c>
      <c r="L386" s="1">
        <v>7.0400000000000004E-2</v>
      </c>
      <c r="M386" s="1">
        <v>0.25</v>
      </c>
      <c r="N386" s="4">
        <f t="shared" ref="N386:N449" si="37">E386/12</f>
        <v>3.4499999999999999E-3</v>
      </c>
      <c r="O386" s="5">
        <f t="shared" ref="O386:O449" si="38">N386*C386</f>
        <v>0.1505235</v>
      </c>
      <c r="P386">
        <f t="shared" ref="P386:P449" si="39">ROUNDUP((C386/O386),0)+1</f>
        <v>291</v>
      </c>
      <c r="Q386" s="6">
        <f t="shared" ref="Q386:Q449" si="40">P386*C386</f>
        <v>12696.33</v>
      </c>
      <c r="R386" s="6">
        <f t="shared" ref="R386:R449" si="41">P386*O386</f>
        <v>43.802338500000005</v>
      </c>
      <c r="S386" t="str">
        <f t="shared" si="36"/>
        <v>Alerta</v>
      </c>
    </row>
    <row r="387" spans="1:19" x14ac:dyDescent="0.3">
      <c r="A387" t="s">
        <v>272</v>
      </c>
      <c r="B387" t="s">
        <v>16</v>
      </c>
      <c r="C387" s="5">
        <f>VLOOKUP(A387,Dim!A:B,2,0)</f>
        <v>0</v>
      </c>
      <c r="D387" s="1">
        <v>7.9699999999999993E-2</v>
      </c>
      <c r="E387" s="1">
        <v>0</v>
      </c>
      <c r="F387">
        <v>0.96</v>
      </c>
      <c r="G387" s="2">
        <v>216723000</v>
      </c>
      <c r="H387">
        <v>0</v>
      </c>
      <c r="I387">
        <v>1</v>
      </c>
      <c r="J387" s="3">
        <v>7394.68</v>
      </c>
      <c r="K387">
        <v>671.49</v>
      </c>
      <c r="L387" s="1">
        <v>9.0800000000000006E-2</v>
      </c>
      <c r="M387" s="1">
        <v>1.1900000000000001E-2</v>
      </c>
      <c r="N387" s="4">
        <f t="shared" si="37"/>
        <v>0</v>
      </c>
      <c r="O387" s="5">
        <f t="shared" si="38"/>
        <v>0</v>
      </c>
      <c r="P387" t="e">
        <f t="shared" si="39"/>
        <v>#DIV/0!</v>
      </c>
      <c r="Q387" s="6" t="e">
        <f t="shared" si="40"/>
        <v>#DIV/0!</v>
      </c>
      <c r="R387" s="6" t="e">
        <f t="shared" si="41"/>
        <v>#DIV/0!</v>
      </c>
      <c r="S387" t="str">
        <f t="shared" si="36"/>
        <v>Bom</v>
      </c>
    </row>
    <row r="388" spans="1:19" x14ac:dyDescent="0.3">
      <c r="A388" t="s">
        <v>410</v>
      </c>
      <c r="B388" t="s">
        <v>14</v>
      </c>
      <c r="C388" s="5">
        <f>VLOOKUP(A388,Dim!A:B,2,0)</f>
        <v>95.25</v>
      </c>
      <c r="D388" s="1">
        <v>0.1115</v>
      </c>
      <c r="E388" s="1">
        <v>0.1351</v>
      </c>
      <c r="F388">
        <v>0.95</v>
      </c>
      <c r="G388" s="2">
        <v>1213100000</v>
      </c>
      <c r="H388" s="2">
        <v>3756260</v>
      </c>
      <c r="I388">
        <v>0</v>
      </c>
      <c r="J388">
        <v>0</v>
      </c>
      <c r="K388">
        <v>0</v>
      </c>
      <c r="L388" s="1">
        <v>0</v>
      </c>
      <c r="M388" s="1">
        <v>0</v>
      </c>
      <c r="N388" s="4">
        <f t="shared" si="37"/>
        <v>1.1258333333333334E-2</v>
      </c>
      <c r="O388" s="5">
        <f t="shared" si="38"/>
        <v>1.0723562500000001</v>
      </c>
      <c r="P388">
        <f t="shared" si="39"/>
        <v>90</v>
      </c>
      <c r="Q388" s="6">
        <f t="shared" si="40"/>
        <v>8572.5</v>
      </c>
      <c r="R388" s="6">
        <f t="shared" si="41"/>
        <v>96.512062500000013</v>
      </c>
      <c r="S388" t="str">
        <f t="shared" si="36"/>
        <v>Alerta</v>
      </c>
    </row>
    <row r="389" spans="1:19" x14ac:dyDescent="0.3">
      <c r="A389" t="s">
        <v>411</v>
      </c>
      <c r="B389" t="s">
        <v>19</v>
      </c>
      <c r="C389" s="5">
        <f>VLOOKUP(A389,Dim!A:B,2,0)</f>
        <v>350.01</v>
      </c>
      <c r="D389" s="1">
        <v>1.77E-2</v>
      </c>
      <c r="E389" s="1">
        <v>7.5300000000000006E-2</v>
      </c>
      <c r="F389">
        <v>0.93</v>
      </c>
      <c r="G389" s="2">
        <v>19784300</v>
      </c>
      <c r="H389" s="2">
        <v>1861</v>
      </c>
      <c r="I389">
        <v>0</v>
      </c>
      <c r="J389">
        <v>0</v>
      </c>
      <c r="K389">
        <v>0</v>
      </c>
      <c r="L389" s="1">
        <v>0</v>
      </c>
      <c r="M389" s="1">
        <v>0</v>
      </c>
      <c r="N389" s="4">
        <f t="shared" si="37"/>
        <v>6.2750000000000002E-3</v>
      </c>
      <c r="O389" s="5">
        <f t="shared" si="38"/>
        <v>2.1963127500000001</v>
      </c>
      <c r="P389">
        <f t="shared" si="39"/>
        <v>161</v>
      </c>
      <c r="Q389" s="6">
        <f t="shared" si="40"/>
        <v>56351.61</v>
      </c>
      <c r="R389" s="6">
        <f t="shared" si="41"/>
        <v>353.60635275000004</v>
      </c>
      <c r="S389" t="str">
        <f t="shared" ref="S389:S452" si="42">IF(D389&gt;E389,"Bom",IF(D389=E389,"netro","Alerta"))</f>
        <v>Alerta</v>
      </c>
    </row>
    <row r="390" spans="1:19" x14ac:dyDescent="0.3">
      <c r="A390" t="s">
        <v>299</v>
      </c>
      <c r="B390" t="s">
        <v>47</v>
      </c>
      <c r="C390" s="5">
        <f>VLOOKUP(A390,Dim!A:B,2,0)</f>
        <v>0</v>
      </c>
      <c r="D390" s="1">
        <v>0.1125</v>
      </c>
      <c r="E390" s="1">
        <v>5.21E-2</v>
      </c>
      <c r="F390">
        <v>0.82</v>
      </c>
      <c r="G390" s="2">
        <v>374279000</v>
      </c>
      <c r="H390">
        <v>0</v>
      </c>
      <c r="I390">
        <v>5</v>
      </c>
      <c r="J390" s="3">
        <v>3097.83</v>
      </c>
      <c r="K390">
        <v>375.13</v>
      </c>
      <c r="L390" s="1">
        <v>0.1211</v>
      </c>
      <c r="M390" s="1">
        <v>8.3999999999999995E-3</v>
      </c>
      <c r="N390" s="4">
        <f t="shared" si="37"/>
        <v>4.3416666666666664E-3</v>
      </c>
      <c r="O390" s="5">
        <f t="shared" si="38"/>
        <v>0</v>
      </c>
      <c r="P390" t="e">
        <f t="shared" si="39"/>
        <v>#DIV/0!</v>
      </c>
      <c r="Q390" s="6" t="e">
        <f t="shared" si="40"/>
        <v>#DIV/0!</v>
      </c>
      <c r="R390" s="6" t="e">
        <f t="shared" si="41"/>
        <v>#DIV/0!</v>
      </c>
      <c r="S390" t="str">
        <f t="shared" si="42"/>
        <v>Bom</v>
      </c>
    </row>
    <row r="391" spans="1:19" x14ac:dyDescent="0.3">
      <c r="A391" t="s">
        <v>307</v>
      </c>
      <c r="B391" t="s">
        <v>14</v>
      </c>
      <c r="C391" s="5">
        <f>VLOOKUP(A391,Dim!A:B,2,0)</f>
        <v>0</v>
      </c>
      <c r="D391" s="1">
        <v>1.752</v>
      </c>
      <c r="E391" s="1">
        <v>0.34239999999999998</v>
      </c>
      <c r="F391">
        <v>1.1499999999999999</v>
      </c>
      <c r="G391" s="2">
        <v>9712040</v>
      </c>
      <c r="H391">
        <v>0</v>
      </c>
      <c r="I391">
        <v>0</v>
      </c>
      <c r="J391">
        <v>0</v>
      </c>
      <c r="K391">
        <v>0</v>
      </c>
      <c r="L391" s="1">
        <v>0</v>
      </c>
      <c r="M391" s="1">
        <v>0</v>
      </c>
      <c r="N391" s="4">
        <f t="shared" si="37"/>
        <v>2.8533333333333331E-2</v>
      </c>
      <c r="O391" s="5">
        <f t="shared" si="38"/>
        <v>0</v>
      </c>
      <c r="P391" t="e">
        <f t="shared" si="39"/>
        <v>#DIV/0!</v>
      </c>
      <c r="Q391" s="6" t="e">
        <f t="shared" si="40"/>
        <v>#DIV/0!</v>
      </c>
      <c r="R391" s="6" t="e">
        <f t="shared" si="41"/>
        <v>#DIV/0!</v>
      </c>
      <c r="S391" t="str">
        <f t="shared" si="42"/>
        <v>Bom</v>
      </c>
    </row>
    <row r="392" spans="1:19" x14ac:dyDescent="0.3">
      <c r="A392" t="s">
        <v>414</v>
      </c>
      <c r="B392" t="s">
        <v>14</v>
      </c>
      <c r="C392" s="5">
        <f>VLOOKUP(A392,Dim!A:B,2,0)</f>
        <v>98</v>
      </c>
      <c r="D392" s="1">
        <v>0.27379999999999999</v>
      </c>
      <c r="E392" s="1">
        <v>0.23830000000000001</v>
      </c>
      <c r="F392">
        <v>0.95</v>
      </c>
      <c r="G392" s="2">
        <v>31673600</v>
      </c>
      <c r="H392">
        <v>0</v>
      </c>
      <c r="I392">
        <v>0</v>
      </c>
      <c r="J392">
        <v>0</v>
      </c>
      <c r="K392">
        <v>0</v>
      </c>
      <c r="L392" s="1">
        <v>0</v>
      </c>
      <c r="M392" s="1">
        <v>0</v>
      </c>
      <c r="N392" s="4">
        <f t="shared" si="37"/>
        <v>1.9858333333333335E-2</v>
      </c>
      <c r="O392" s="5">
        <f t="shared" si="38"/>
        <v>1.9461166666666669</v>
      </c>
      <c r="P392">
        <f t="shared" si="39"/>
        <v>52</v>
      </c>
      <c r="Q392" s="6">
        <f t="shared" si="40"/>
        <v>5096</v>
      </c>
      <c r="R392" s="6">
        <f t="shared" si="41"/>
        <v>101.19806666666668</v>
      </c>
      <c r="S392" t="str">
        <f t="shared" si="42"/>
        <v>Bom</v>
      </c>
    </row>
    <row r="393" spans="1:19" x14ac:dyDescent="0.3">
      <c r="A393" t="s">
        <v>415</v>
      </c>
      <c r="B393" t="s">
        <v>28</v>
      </c>
      <c r="C393" s="5">
        <f>VLOOKUP(A393,Dim!A:B,2,0)</f>
        <v>127.96</v>
      </c>
      <c r="D393" s="1">
        <v>6.9500000000000006E-2</v>
      </c>
      <c r="E393" s="1">
        <v>8.0799999999999997E-2</v>
      </c>
      <c r="F393">
        <v>0.63</v>
      </c>
      <c r="G393" s="2">
        <v>459787000</v>
      </c>
      <c r="H393" s="2">
        <v>1148540</v>
      </c>
      <c r="I393">
        <v>9</v>
      </c>
      <c r="J393" s="3">
        <v>11563.8</v>
      </c>
      <c r="K393" s="3">
        <v>1238.52</v>
      </c>
      <c r="L393" s="1">
        <v>0.1071</v>
      </c>
      <c r="M393" s="1">
        <v>2.8999999999999998E-3</v>
      </c>
      <c r="N393" s="4">
        <f t="shared" si="37"/>
        <v>6.7333333333333334E-3</v>
      </c>
      <c r="O393" s="5">
        <f t="shared" si="38"/>
        <v>0.86159733333333333</v>
      </c>
      <c r="P393">
        <f t="shared" si="39"/>
        <v>150</v>
      </c>
      <c r="Q393" s="6">
        <f t="shared" si="40"/>
        <v>19194</v>
      </c>
      <c r="R393" s="6">
        <f t="shared" si="41"/>
        <v>129.2396</v>
      </c>
      <c r="S393" t="str">
        <f t="shared" si="42"/>
        <v>Alerta</v>
      </c>
    </row>
    <row r="394" spans="1:19" x14ac:dyDescent="0.3">
      <c r="A394" t="s">
        <v>416</v>
      </c>
      <c r="B394" t="s">
        <v>14</v>
      </c>
      <c r="C394" s="5">
        <f>VLOOKUP(A394,Dim!A:B,2,0)</f>
        <v>98.41</v>
      </c>
      <c r="D394" s="1">
        <v>0</v>
      </c>
      <c r="E394" s="1">
        <v>3.27E-2</v>
      </c>
      <c r="F394">
        <v>0.99</v>
      </c>
      <c r="G394" s="2">
        <v>41475600</v>
      </c>
      <c r="H394" s="2">
        <v>98932</v>
      </c>
      <c r="I394">
        <v>0</v>
      </c>
      <c r="J394">
        <v>0</v>
      </c>
      <c r="K394">
        <v>0</v>
      </c>
      <c r="L394" s="1">
        <v>0</v>
      </c>
      <c r="M394" s="1">
        <v>0</v>
      </c>
      <c r="N394" s="4">
        <f t="shared" si="37"/>
        <v>2.725E-3</v>
      </c>
      <c r="O394" s="5">
        <f t="shared" si="38"/>
        <v>0.26816724999999997</v>
      </c>
      <c r="P394">
        <f t="shared" si="39"/>
        <v>368</v>
      </c>
      <c r="Q394" s="6">
        <f t="shared" si="40"/>
        <v>36214.879999999997</v>
      </c>
      <c r="R394" s="6">
        <f t="shared" si="41"/>
        <v>98.685547999999983</v>
      </c>
      <c r="S394" t="str">
        <f t="shared" si="42"/>
        <v>Alerta</v>
      </c>
    </row>
    <row r="395" spans="1:19" x14ac:dyDescent="0.3">
      <c r="A395" t="s">
        <v>309</v>
      </c>
      <c r="B395" t="s">
        <v>37</v>
      </c>
      <c r="C395" s="5">
        <f>VLOOKUP(A395,Dim!A:B,2,0)</f>
        <v>0</v>
      </c>
      <c r="D395" s="1">
        <v>0.11940000000000001</v>
      </c>
      <c r="E395" s="1">
        <v>4.7600000000000003E-2</v>
      </c>
      <c r="F395">
        <v>0.62</v>
      </c>
      <c r="G395" s="2">
        <v>82338000</v>
      </c>
      <c r="H395">
        <v>0</v>
      </c>
      <c r="I395">
        <v>5</v>
      </c>
      <c r="J395" s="3">
        <v>3133.26</v>
      </c>
      <c r="K395">
        <v>529.29</v>
      </c>
      <c r="L395" s="1">
        <v>0.16889999999999999</v>
      </c>
      <c r="M395" s="1">
        <v>3.3099999999999997E-2</v>
      </c>
      <c r="N395" s="4">
        <f t="shared" si="37"/>
        <v>3.966666666666667E-3</v>
      </c>
      <c r="O395" s="5">
        <f t="shared" si="38"/>
        <v>0</v>
      </c>
      <c r="P395" t="e">
        <f t="shared" si="39"/>
        <v>#DIV/0!</v>
      </c>
      <c r="Q395" s="6" t="e">
        <f t="shared" si="40"/>
        <v>#DIV/0!</v>
      </c>
      <c r="R395" s="6" t="e">
        <f t="shared" si="41"/>
        <v>#DIV/0!</v>
      </c>
      <c r="S395" t="str">
        <f t="shared" si="42"/>
        <v>Bom</v>
      </c>
    </row>
    <row r="396" spans="1:19" x14ac:dyDescent="0.3">
      <c r="A396" t="s">
        <v>311</v>
      </c>
      <c r="B396" t="s">
        <v>16</v>
      </c>
      <c r="C396" s="5">
        <f>VLOOKUP(A396,Dim!A:B,2,0)</f>
        <v>0</v>
      </c>
      <c r="D396" s="1">
        <v>0.14219999999999999</v>
      </c>
      <c r="E396" s="1">
        <v>8.9099999999999999E-2</v>
      </c>
      <c r="F396">
        <v>0.83</v>
      </c>
      <c r="G396" s="2">
        <v>1398630000</v>
      </c>
      <c r="H396" s="2">
        <v>1520130</v>
      </c>
      <c r="I396">
        <v>11</v>
      </c>
      <c r="J396" s="3">
        <v>4650.8599999999997</v>
      </c>
      <c r="K396">
        <v>755.88</v>
      </c>
      <c r="L396" s="1">
        <v>0.16250000000000001</v>
      </c>
      <c r="M396" s="1">
        <v>3.6400000000000002E-2</v>
      </c>
      <c r="N396" s="4">
        <f t="shared" si="37"/>
        <v>7.4250000000000002E-3</v>
      </c>
      <c r="O396" s="5">
        <f t="shared" si="38"/>
        <v>0</v>
      </c>
      <c r="P396" t="e">
        <f t="shared" si="39"/>
        <v>#DIV/0!</v>
      </c>
      <c r="Q396" s="6" t="e">
        <f t="shared" si="40"/>
        <v>#DIV/0!</v>
      </c>
      <c r="R396" s="6" t="e">
        <f t="shared" si="41"/>
        <v>#DIV/0!</v>
      </c>
      <c r="S396" t="str">
        <f t="shared" si="42"/>
        <v>Bom</v>
      </c>
    </row>
    <row r="397" spans="1:19" x14ac:dyDescent="0.3">
      <c r="A397" t="s">
        <v>313</v>
      </c>
      <c r="B397" t="s">
        <v>23</v>
      </c>
      <c r="C397" s="5">
        <f>VLOOKUP(A397,Dim!A:B,2,0)</f>
        <v>0</v>
      </c>
      <c r="D397" s="1">
        <v>0.1142</v>
      </c>
      <c r="E397" s="1">
        <v>0</v>
      </c>
      <c r="F397">
        <v>0.92</v>
      </c>
      <c r="G397" s="2">
        <v>36901600</v>
      </c>
      <c r="H397">
        <v>0</v>
      </c>
      <c r="I397">
        <v>0</v>
      </c>
      <c r="J397">
        <v>0</v>
      </c>
      <c r="K397">
        <v>0</v>
      </c>
      <c r="L397" s="1">
        <v>0</v>
      </c>
      <c r="M397" s="1">
        <v>0</v>
      </c>
      <c r="N397" s="4">
        <f t="shared" si="37"/>
        <v>0</v>
      </c>
      <c r="O397" s="5">
        <f t="shared" si="38"/>
        <v>0</v>
      </c>
      <c r="P397" t="e">
        <f t="shared" si="39"/>
        <v>#DIV/0!</v>
      </c>
      <c r="Q397" s="6" t="e">
        <f t="shared" si="40"/>
        <v>#DIV/0!</v>
      </c>
      <c r="R397" s="6" t="e">
        <f t="shared" si="41"/>
        <v>#DIV/0!</v>
      </c>
      <c r="S397" t="str">
        <f t="shared" si="42"/>
        <v>Bom</v>
      </c>
    </row>
    <row r="398" spans="1:19" x14ac:dyDescent="0.3">
      <c r="A398" t="s">
        <v>315</v>
      </c>
      <c r="B398" t="s">
        <v>14</v>
      </c>
      <c r="C398" s="5">
        <f>VLOOKUP(A398,Dim!A:B,2,0)</f>
        <v>0</v>
      </c>
      <c r="D398" s="1">
        <v>4.6300000000000001E-2</v>
      </c>
      <c r="E398" s="1">
        <v>0</v>
      </c>
      <c r="F398">
        <v>0.98</v>
      </c>
      <c r="G398" s="2">
        <v>69029900</v>
      </c>
      <c r="H398">
        <v>0</v>
      </c>
      <c r="I398">
        <v>2</v>
      </c>
      <c r="J398" s="3">
        <v>3833.27</v>
      </c>
      <c r="K398">
        <v>140.41999999999999</v>
      </c>
      <c r="L398" s="1">
        <v>3.6600000000000001E-2</v>
      </c>
      <c r="M398" s="1">
        <v>0.81979999999999997</v>
      </c>
      <c r="N398" s="4">
        <f t="shared" si="37"/>
        <v>0</v>
      </c>
      <c r="O398" s="5">
        <f t="shared" si="38"/>
        <v>0</v>
      </c>
      <c r="P398" t="e">
        <f t="shared" si="39"/>
        <v>#DIV/0!</v>
      </c>
      <c r="Q398" s="6" t="e">
        <f t="shared" si="40"/>
        <v>#DIV/0!</v>
      </c>
      <c r="R398" s="6" t="e">
        <f t="shared" si="41"/>
        <v>#DIV/0!</v>
      </c>
      <c r="S398" t="str">
        <f t="shared" si="42"/>
        <v>Bom</v>
      </c>
    </row>
    <row r="399" spans="1:19" x14ac:dyDescent="0.3">
      <c r="A399" t="s">
        <v>421</v>
      </c>
      <c r="B399" t="s">
        <v>19</v>
      </c>
      <c r="C399" s="5">
        <f>VLOOKUP(A399,Dim!A:B,2,0)</f>
        <v>77.790000000000006</v>
      </c>
      <c r="D399" s="1">
        <v>0.1459</v>
      </c>
      <c r="E399" s="1">
        <v>0.1535</v>
      </c>
      <c r="F399">
        <v>0.88</v>
      </c>
      <c r="G399" s="2">
        <v>2056100000</v>
      </c>
      <c r="H399" s="2">
        <v>2666140</v>
      </c>
      <c r="I399">
        <v>1</v>
      </c>
      <c r="J399" s="3">
        <v>40481.599999999999</v>
      </c>
      <c r="K399">
        <v>0</v>
      </c>
      <c r="L399" s="1">
        <v>0</v>
      </c>
      <c r="M399" s="1">
        <v>1.0002</v>
      </c>
      <c r="N399" s="4">
        <f t="shared" si="37"/>
        <v>1.2791666666666666E-2</v>
      </c>
      <c r="O399" s="5">
        <f t="shared" si="38"/>
        <v>0.99506375000000002</v>
      </c>
      <c r="P399">
        <f t="shared" si="39"/>
        <v>80</v>
      </c>
      <c r="Q399" s="6">
        <f t="shared" si="40"/>
        <v>6223.2000000000007</v>
      </c>
      <c r="R399" s="6">
        <f t="shared" si="41"/>
        <v>79.605100000000007</v>
      </c>
      <c r="S399" t="str">
        <f t="shared" si="42"/>
        <v>Alerta</v>
      </c>
    </row>
    <row r="400" spans="1:19" x14ac:dyDescent="0.3">
      <c r="A400" t="s">
        <v>422</v>
      </c>
      <c r="B400" t="s">
        <v>19</v>
      </c>
      <c r="C400" s="5">
        <f>VLOOKUP(A400,Dim!A:B,2,0)</f>
        <v>33.61</v>
      </c>
      <c r="D400" s="1">
        <v>0.13719999999999999</v>
      </c>
      <c r="E400" s="1">
        <v>0.1288</v>
      </c>
      <c r="F400">
        <v>0.37</v>
      </c>
      <c r="G400" s="2">
        <v>284840000</v>
      </c>
      <c r="H400" s="2">
        <v>315738</v>
      </c>
      <c r="I400">
        <v>9</v>
      </c>
      <c r="J400" s="3">
        <v>3693.38</v>
      </c>
      <c r="K400">
        <v>777.81</v>
      </c>
      <c r="L400" s="1">
        <v>0.21060000000000001</v>
      </c>
      <c r="M400" s="1">
        <v>7.2999999999999995E-2</v>
      </c>
      <c r="N400" s="4">
        <f t="shared" si="37"/>
        <v>1.0733333333333333E-2</v>
      </c>
      <c r="O400" s="5">
        <f t="shared" si="38"/>
        <v>0.36074733333333331</v>
      </c>
      <c r="P400">
        <f t="shared" si="39"/>
        <v>95</v>
      </c>
      <c r="Q400" s="6">
        <f t="shared" si="40"/>
        <v>3192.95</v>
      </c>
      <c r="R400" s="6">
        <f t="shared" si="41"/>
        <v>34.270996666666662</v>
      </c>
      <c r="S400" t="str">
        <f t="shared" si="42"/>
        <v>Bom</v>
      </c>
    </row>
    <row r="401" spans="1:19" x14ac:dyDescent="0.3">
      <c r="A401" t="s">
        <v>322</v>
      </c>
      <c r="B401" t="s">
        <v>81</v>
      </c>
      <c r="C401" s="5">
        <f>VLOOKUP(A401,Dim!A:B,2,0)</f>
        <v>0</v>
      </c>
      <c r="D401" s="1">
        <v>0</v>
      </c>
      <c r="E401" s="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s="1">
        <v>0</v>
      </c>
      <c r="M401" s="1">
        <v>0</v>
      </c>
      <c r="N401" s="4">
        <f t="shared" si="37"/>
        <v>0</v>
      </c>
      <c r="O401" s="5">
        <f t="shared" si="38"/>
        <v>0</v>
      </c>
      <c r="P401" t="e">
        <f t="shared" si="39"/>
        <v>#DIV/0!</v>
      </c>
      <c r="Q401" s="6" t="e">
        <f t="shared" si="40"/>
        <v>#DIV/0!</v>
      </c>
      <c r="R401" s="6" t="e">
        <f t="shared" si="41"/>
        <v>#DIV/0!</v>
      </c>
      <c r="S401" t="str">
        <f t="shared" si="42"/>
        <v>netro</v>
      </c>
    </row>
    <row r="402" spans="1:19" x14ac:dyDescent="0.3">
      <c r="A402" t="s">
        <v>424</v>
      </c>
      <c r="B402" t="s">
        <v>14</v>
      </c>
      <c r="C402" s="5">
        <f>VLOOKUP(A402,Dim!A:B,2,0)</f>
        <v>82.1</v>
      </c>
      <c r="D402" s="1">
        <v>9.5899999999999999E-2</v>
      </c>
      <c r="E402" s="1">
        <v>6.3200000000000006E-2</v>
      </c>
      <c r="F402">
        <v>0.27</v>
      </c>
      <c r="G402" s="2">
        <v>2158490</v>
      </c>
      <c r="H402">
        <v>2</v>
      </c>
      <c r="I402">
        <v>0</v>
      </c>
      <c r="J402">
        <v>0</v>
      </c>
      <c r="K402">
        <v>0</v>
      </c>
      <c r="L402" s="1">
        <v>0</v>
      </c>
      <c r="M402" s="1">
        <v>0</v>
      </c>
      <c r="N402" s="4">
        <f t="shared" si="37"/>
        <v>5.2666666666666669E-3</v>
      </c>
      <c r="O402" s="5">
        <f t="shared" si="38"/>
        <v>0.4323933333333333</v>
      </c>
      <c r="P402">
        <f t="shared" si="39"/>
        <v>191</v>
      </c>
      <c r="Q402" s="6">
        <f t="shared" si="40"/>
        <v>15681.099999999999</v>
      </c>
      <c r="R402" s="6">
        <f t="shared" si="41"/>
        <v>82.587126666666663</v>
      </c>
      <c r="S402" t="str">
        <f t="shared" si="42"/>
        <v>Bom</v>
      </c>
    </row>
    <row r="403" spans="1:19" x14ac:dyDescent="0.3">
      <c r="A403" t="s">
        <v>425</v>
      </c>
      <c r="B403" t="s">
        <v>19</v>
      </c>
      <c r="C403" s="5">
        <f>VLOOKUP(A403,Dim!A:B,2,0)</f>
        <v>64.25</v>
      </c>
      <c r="D403" s="1">
        <v>8.9200000000000002E-2</v>
      </c>
      <c r="E403" s="1">
        <v>0.12509999999999999</v>
      </c>
      <c r="F403">
        <v>0.76</v>
      </c>
      <c r="G403" s="2">
        <v>86973400</v>
      </c>
      <c r="H403" s="2">
        <v>113742</v>
      </c>
      <c r="I403">
        <v>0</v>
      </c>
      <c r="J403">
        <v>0</v>
      </c>
      <c r="K403">
        <v>0</v>
      </c>
      <c r="L403" s="1">
        <v>0</v>
      </c>
      <c r="M403" s="1">
        <v>0</v>
      </c>
      <c r="N403" s="4">
        <f t="shared" si="37"/>
        <v>1.0424999999999999E-2</v>
      </c>
      <c r="O403" s="5">
        <f t="shared" si="38"/>
        <v>0.66980624999999994</v>
      </c>
      <c r="P403">
        <f t="shared" si="39"/>
        <v>97</v>
      </c>
      <c r="Q403" s="6">
        <f t="shared" si="40"/>
        <v>6232.25</v>
      </c>
      <c r="R403" s="6">
        <f t="shared" si="41"/>
        <v>64.971206249999994</v>
      </c>
      <c r="S403" t="str">
        <f t="shared" si="42"/>
        <v>Alerta</v>
      </c>
    </row>
    <row r="404" spans="1:19" x14ac:dyDescent="0.3">
      <c r="A404" t="s">
        <v>323</v>
      </c>
      <c r="B404" t="s">
        <v>81</v>
      </c>
      <c r="C404" s="5">
        <f>VLOOKUP(A404,Dim!A:B,2,0)</f>
        <v>0</v>
      </c>
      <c r="D404" s="1">
        <v>0</v>
      </c>
      <c r="E404" s="1">
        <v>0.1067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s="1">
        <v>0</v>
      </c>
      <c r="M404" s="1">
        <v>0</v>
      </c>
      <c r="N404" s="4">
        <f t="shared" si="37"/>
        <v>8.8916666666666675E-3</v>
      </c>
      <c r="O404" s="5">
        <f t="shared" si="38"/>
        <v>0</v>
      </c>
      <c r="P404" t="e">
        <f t="shared" si="39"/>
        <v>#DIV/0!</v>
      </c>
      <c r="Q404" s="6" t="e">
        <f t="shared" si="40"/>
        <v>#DIV/0!</v>
      </c>
      <c r="R404" s="6" t="e">
        <f t="shared" si="41"/>
        <v>#DIV/0!</v>
      </c>
      <c r="S404" t="str">
        <f t="shared" si="42"/>
        <v>Alerta</v>
      </c>
    </row>
    <row r="405" spans="1:19" x14ac:dyDescent="0.3">
      <c r="A405" t="s">
        <v>427</v>
      </c>
      <c r="B405" t="s">
        <v>14</v>
      </c>
      <c r="C405" s="5">
        <f>VLOOKUP(A405,Dim!A:B,2,0)</f>
        <v>64.489999999999995</v>
      </c>
      <c r="D405" s="1">
        <v>0.1172</v>
      </c>
      <c r="E405" s="1">
        <v>0.12139999999999999</v>
      </c>
      <c r="F405">
        <v>0.91</v>
      </c>
      <c r="G405" s="2">
        <v>69530800</v>
      </c>
      <c r="H405" s="2">
        <v>405037</v>
      </c>
      <c r="I405">
        <v>0</v>
      </c>
      <c r="J405">
        <v>0</v>
      </c>
      <c r="K405">
        <v>0</v>
      </c>
      <c r="L405" s="1">
        <v>0</v>
      </c>
      <c r="M405" s="1">
        <v>0</v>
      </c>
      <c r="N405" s="4">
        <f t="shared" si="37"/>
        <v>1.0116666666666666E-2</v>
      </c>
      <c r="O405" s="5">
        <f t="shared" si="38"/>
        <v>0.6524238333333332</v>
      </c>
      <c r="P405">
        <f t="shared" si="39"/>
        <v>100</v>
      </c>
      <c r="Q405" s="6">
        <f t="shared" si="40"/>
        <v>6448.9999999999991</v>
      </c>
      <c r="R405" s="6">
        <f t="shared" si="41"/>
        <v>65.242383333333322</v>
      </c>
      <c r="S405" t="str">
        <f t="shared" si="42"/>
        <v>Alerta</v>
      </c>
    </row>
    <row r="406" spans="1:19" x14ac:dyDescent="0.3">
      <c r="A406" t="s">
        <v>428</v>
      </c>
      <c r="B406" t="s">
        <v>14</v>
      </c>
      <c r="C406" s="5">
        <f>VLOOKUP(A406,Dim!A:B,2,0)</f>
        <v>102.96</v>
      </c>
      <c r="D406" s="1">
        <v>0.1012</v>
      </c>
      <c r="E406" s="1">
        <v>0.1221</v>
      </c>
      <c r="F406">
        <v>0.99</v>
      </c>
      <c r="G406" s="2">
        <v>336185000</v>
      </c>
      <c r="H406" s="2">
        <v>246234</v>
      </c>
      <c r="I406">
        <v>0</v>
      </c>
      <c r="J406">
        <v>0</v>
      </c>
      <c r="K406">
        <v>0</v>
      </c>
      <c r="L406" s="1">
        <v>0</v>
      </c>
      <c r="M406" s="1">
        <v>0</v>
      </c>
      <c r="N406" s="4">
        <f t="shared" si="37"/>
        <v>1.0175E-2</v>
      </c>
      <c r="O406" s="5">
        <f t="shared" si="38"/>
        <v>1.0476179999999999</v>
      </c>
      <c r="P406">
        <f t="shared" si="39"/>
        <v>100</v>
      </c>
      <c r="Q406" s="6">
        <f t="shared" si="40"/>
        <v>10296</v>
      </c>
      <c r="R406" s="6">
        <f t="shared" si="41"/>
        <v>104.76179999999999</v>
      </c>
      <c r="S406" t="str">
        <f t="shared" si="42"/>
        <v>Alerta</v>
      </c>
    </row>
    <row r="407" spans="1:19" x14ac:dyDescent="0.3">
      <c r="A407" t="s">
        <v>429</v>
      </c>
      <c r="B407" t="s">
        <v>14</v>
      </c>
      <c r="C407" s="5">
        <f>VLOOKUP(A407,Dim!A:B,2,0)</f>
        <v>60.4</v>
      </c>
      <c r="D407" s="1">
        <v>8.2600000000000007E-2</v>
      </c>
      <c r="E407" s="1">
        <v>9.9000000000000005E-2</v>
      </c>
      <c r="F407">
        <v>0.56999999999999995</v>
      </c>
      <c r="G407" s="2">
        <v>191591000</v>
      </c>
      <c r="H407" s="2">
        <v>205870</v>
      </c>
      <c r="I407">
        <v>2</v>
      </c>
      <c r="J407">
        <v>0</v>
      </c>
      <c r="K407">
        <v>524.69000000000005</v>
      </c>
      <c r="L407" s="1">
        <v>0</v>
      </c>
      <c r="M407" s="1">
        <v>0.13300000000000001</v>
      </c>
      <c r="N407" s="4">
        <f t="shared" si="37"/>
        <v>8.2500000000000004E-3</v>
      </c>
      <c r="O407" s="5">
        <f t="shared" si="38"/>
        <v>0.49830000000000002</v>
      </c>
      <c r="P407">
        <f t="shared" si="39"/>
        <v>123</v>
      </c>
      <c r="Q407" s="6">
        <f t="shared" si="40"/>
        <v>7429.2</v>
      </c>
      <c r="R407" s="6">
        <f t="shared" si="41"/>
        <v>61.290900000000001</v>
      </c>
      <c r="S407" t="str">
        <f t="shared" si="42"/>
        <v>Alerta</v>
      </c>
    </row>
    <row r="408" spans="1:19" x14ac:dyDescent="0.3">
      <c r="A408" t="s">
        <v>318</v>
      </c>
      <c r="B408" t="s">
        <v>23</v>
      </c>
      <c r="C408" s="5">
        <f>VLOOKUP(A408,Dim!A:B,2,0)</f>
        <v>0</v>
      </c>
      <c r="D408" s="1">
        <v>0.1176</v>
      </c>
      <c r="E408" s="1">
        <v>0</v>
      </c>
      <c r="F408">
        <v>0.87</v>
      </c>
      <c r="G408" s="2">
        <v>292806000</v>
      </c>
      <c r="H408">
        <v>0</v>
      </c>
      <c r="I408">
        <v>3</v>
      </c>
      <c r="J408">
        <v>0</v>
      </c>
      <c r="K408">
        <v>0</v>
      </c>
      <c r="L408" s="1">
        <v>0</v>
      </c>
      <c r="M408" s="1">
        <v>0</v>
      </c>
      <c r="N408" s="4">
        <f t="shared" si="37"/>
        <v>0</v>
      </c>
      <c r="O408" s="5">
        <f t="shared" si="38"/>
        <v>0</v>
      </c>
      <c r="P408" t="e">
        <f t="shared" si="39"/>
        <v>#DIV/0!</v>
      </c>
      <c r="Q408" s="6" t="e">
        <f t="shared" si="40"/>
        <v>#DIV/0!</v>
      </c>
      <c r="R408" s="6" t="e">
        <f t="shared" si="41"/>
        <v>#DIV/0!</v>
      </c>
      <c r="S408" t="str">
        <f t="shared" si="42"/>
        <v>Bom</v>
      </c>
    </row>
    <row r="409" spans="1:19" x14ac:dyDescent="0.3">
      <c r="A409" t="s">
        <v>431</v>
      </c>
      <c r="B409" t="s">
        <v>28</v>
      </c>
      <c r="C409" s="5">
        <f>VLOOKUP(A409,Dim!A:B,2,0)</f>
        <v>50.05</v>
      </c>
      <c r="D409" s="1">
        <v>9.1600000000000001E-2</v>
      </c>
      <c r="E409" s="1">
        <v>8.2199999999999995E-2</v>
      </c>
      <c r="F409">
        <v>0.62</v>
      </c>
      <c r="G409" s="2">
        <v>139152000</v>
      </c>
      <c r="H409" s="2">
        <v>73163</v>
      </c>
      <c r="I409">
        <v>4</v>
      </c>
      <c r="J409" s="3">
        <v>2423.39</v>
      </c>
      <c r="K409">
        <v>312.61</v>
      </c>
      <c r="L409" s="1">
        <v>0.129</v>
      </c>
      <c r="M409" s="1">
        <v>0.13420000000000001</v>
      </c>
      <c r="N409" s="4">
        <f t="shared" si="37"/>
        <v>6.8499999999999993E-3</v>
      </c>
      <c r="O409" s="5">
        <f t="shared" si="38"/>
        <v>0.34284249999999994</v>
      </c>
      <c r="P409">
        <f t="shared" si="39"/>
        <v>147</v>
      </c>
      <c r="Q409" s="6">
        <f t="shared" si="40"/>
        <v>7357.3499999999995</v>
      </c>
      <c r="R409" s="6">
        <f t="shared" si="41"/>
        <v>50.39784749999999</v>
      </c>
      <c r="S409" t="str">
        <f t="shared" si="42"/>
        <v>Bom</v>
      </c>
    </row>
    <row r="410" spans="1:19" x14ac:dyDescent="0.3">
      <c r="A410" t="s">
        <v>432</v>
      </c>
      <c r="B410" t="s">
        <v>19</v>
      </c>
      <c r="C410" s="5">
        <f>VLOOKUP(A410,Dim!A:B,2,0)</f>
        <v>386.4</v>
      </c>
      <c r="D410" s="1">
        <v>-0.1235</v>
      </c>
      <c r="E410" s="1">
        <v>0</v>
      </c>
      <c r="F410">
        <v>1.03</v>
      </c>
      <c r="G410" s="2">
        <v>29944100</v>
      </c>
      <c r="H410">
        <v>0</v>
      </c>
      <c r="I410">
        <v>39</v>
      </c>
      <c r="J410" s="3">
        <v>1231.5899999999999</v>
      </c>
      <c r="K410">
        <v>0</v>
      </c>
      <c r="L410" s="1">
        <v>0</v>
      </c>
      <c r="M410" s="1">
        <v>0</v>
      </c>
      <c r="N410" s="4">
        <f t="shared" si="37"/>
        <v>0</v>
      </c>
      <c r="O410" s="5">
        <f t="shared" si="38"/>
        <v>0</v>
      </c>
      <c r="P410" t="e">
        <f t="shared" si="39"/>
        <v>#DIV/0!</v>
      </c>
      <c r="Q410" s="6" t="e">
        <f t="shared" si="40"/>
        <v>#DIV/0!</v>
      </c>
      <c r="R410" s="6" t="e">
        <f t="shared" si="41"/>
        <v>#DIV/0!</v>
      </c>
      <c r="S410" t="str">
        <f t="shared" si="42"/>
        <v>Alerta</v>
      </c>
    </row>
    <row r="411" spans="1:19" x14ac:dyDescent="0.3">
      <c r="A411" t="s">
        <v>433</v>
      </c>
      <c r="B411" t="s">
        <v>14</v>
      </c>
      <c r="C411" s="5">
        <f>VLOOKUP(A411,Dim!A:B,2,0)</f>
        <v>84.72</v>
      </c>
      <c r="D411" s="1">
        <v>0.13200000000000001</v>
      </c>
      <c r="E411" s="1">
        <v>0.14410000000000001</v>
      </c>
      <c r="F411">
        <v>0.86</v>
      </c>
      <c r="G411" s="2">
        <v>295965000</v>
      </c>
      <c r="H411" s="2">
        <v>381955</v>
      </c>
      <c r="I411">
        <v>0</v>
      </c>
      <c r="J411">
        <v>0</v>
      </c>
      <c r="K411">
        <v>0</v>
      </c>
      <c r="L411" s="1">
        <v>0</v>
      </c>
      <c r="M411" s="1">
        <v>0</v>
      </c>
      <c r="N411" s="4">
        <f t="shared" si="37"/>
        <v>1.2008333333333334E-2</v>
      </c>
      <c r="O411" s="5">
        <f t="shared" si="38"/>
        <v>1.0173460000000001</v>
      </c>
      <c r="P411">
        <f t="shared" si="39"/>
        <v>85</v>
      </c>
      <c r="Q411" s="6">
        <f t="shared" si="40"/>
        <v>7201.2</v>
      </c>
      <c r="R411" s="6">
        <f t="shared" si="41"/>
        <v>86.474410000000006</v>
      </c>
      <c r="S411" t="str">
        <f t="shared" si="42"/>
        <v>Alerta</v>
      </c>
    </row>
    <row r="412" spans="1:19" x14ac:dyDescent="0.3">
      <c r="A412" t="s">
        <v>434</v>
      </c>
      <c r="B412" t="s">
        <v>14</v>
      </c>
      <c r="C412" s="5">
        <f>VLOOKUP(A412,Dim!A:B,2,0)</f>
        <v>77.180000000000007</v>
      </c>
      <c r="D412" s="1">
        <v>0.11890000000000001</v>
      </c>
      <c r="E412" s="1">
        <v>0.126</v>
      </c>
      <c r="F412">
        <v>0.88</v>
      </c>
      <c r="G412" s="2">
        <v>38530900</v>
      </c>
      <c r="H412" s="2">
        <v>325959</v>
      </c>
      <c r="I412">
        <v>0</v>
      </c>
      <c r="J412">
        <v>0</v>
      </c>
      <c r="K412">
        <v>0</v>
      </c>
      <c r="L412" s="1">
        <v>0</v>
      </c>
      <c r="M412" s="1">
        <v>0</v>
      </c>
      <c r="N412" s="4">
        <f t="shared" si="37"/>
        <v>1.0500000000000001E-2</v>
      </c>
      <c r="O412" s="5">
        <f t="shared" si="38"/>
        <v>0.81039000000000017</v>
      </c>
      <c r="P412">
        <f t="shared" si="39"/>
        <v>97</v>
      </c>
      <c r="Q412" s="6">
        <f t="shared" si="40"/>
        <v>7486.4600000000009</v>
      </c>
      <c r="R412" s="6">
        <f t="shared" si="41"/>
        <v>78.607830000000021</v>
      </c>
      <c r="S412" t="str">
        <f t="shared" si="42"/>
        <v>Alerta</v>
      </c>
    </row>
    <row r="413" spans="1:19" x14ac:dyDescent="0.3">
      <c r="A413" t="s">
        <v>435</v>
      </c>
      <c r="B413" t="s">
        <v>37</v>
      </c>
      <c r="C413" s="5">
        <f>VLOOKUP(A413,Dim!A:B,2,0)</f>
        <v>1009.99</v>
      </c>
      <c r="D413" s="1">
        <v>0.1174</v>
      </c>
      <c r="E413" s="1">
        <v>0.1338</v>
      </c>
      <c r="F413">
        <v>1.1100000000000001</v>
      </c>
      <c r="G413" s="2">
        <v>150500000</v>
      </c>
      <c r="H413">
        <v>0</v>
      </c>
      <c r="I413">
        <v>1</v>
      </c>
      <c r="J413" s="3">
        <v>84622.6</v>
      </c>
      <c r="K413">
        <v>0</v>
      </c>
      <c r="L413" s="1">
        <v>0</v>
      </c>
      <c r="M413" s="1">
        <v>0</v>
      </c>
      <c r="N413" s="4">
        <f t="shared" si="37"/>
        <v>1.115E-2</v>
      </c>
      <c r="O413" s="5">
        <f t="shared" si="38"/>
        <v>11.261388500000001</v>
      </c>
      <c r="P413">
        <f t="shared" si="39"/>
        <v>91</v>
      </c>
      <c r="Q413" s="6">
        <f t="shared" si="40"/>
        <v>91909.09</v>
      </c>
      <c r="R413" s="6">
        <f t="shared" si="41"/>
        <v>1024.7863535000001</v>
      </c>
      <c r="S413" t="str">
        <f t="shared" si="42"/>
        <v>Alerta</v>
      </c>
    </row>
    <row r="414" spans="1:19" x14ac:dyDescent="0.3">
      <c r="A414" t="s">
        <v>326</v>
      </c>
      <c r="B414" t="s">
        <v>23</v>
      </c>
      <c r="C414" s="5">
        <f>VLOOKUP(A414,Dim!A:B,2,0)</f>
        <v>0</v>
      </c>
      <c r="D414" s="1">
        <v>0</v>
      </c>
      <c r="E414" s="1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s="1">
        <v>0</v>
      </c>
      <c r="M414" s="1">
        <v>0</v>
      </c>
      <c r="N414" s="4">
        <f t="shared" si="37"/>
        <v>0</v>
      </c>
      <c r="O414" s="5">
        <f t="shared" si="38"/>
        <v>0</v>
      </c>
      <c r="P414" t="e">
        <f t="shared" si="39"/>
        <v>#DIV/0!</v>
      </c>
      <c r="Q414" s="6" t="e">
        <f t="shared" si="40"/>
        <v>#DIV/0!</v>
      </c>
      <c r="R414" s="6" t="e">
        <f t="shared" si="41"/>
        <v>#DIV/0!</v>
      </c>
      <c r="S414" t="str">
        <f t="shared" si="42"/>
        <v>netro</v>
      </c>
    </row>
    <row r="415" spans="1:19" x14ac:dyDescent="0.3">
      <c r="A415" t="s">
        <v>437</v>
      </c>
      <c r="B415" t="s">
        <v>14</v>
      </c>
      <c r="C415" s="5">
        <f>VLOOKUP(A415,Dim!A:B,2,0)</f>
        <v>0</v>
      </c>
      <c r="D415" s="1">
        <v>0.12839999999999999</v>
      </c>
      <c r="E415" s="1">
        <v>0.13880000000000001</v>
      </c>
      <c r="F415">
        <v>0.82</v>
      </c>
      <c r="G415" s="2">
        <v>625295000</v>
      </c>
      <c r="H415" s="2">
        <v>1144530</v>
      </c>
      <c r="I415">
        <v>0</v>
      </c>
      <c r="J415">
        <v>0</v>
      </c>
      <c r="K415">
        <v>0</v>
      </c>
      <c r="L415" s="1">
        <v>0</v>
      </c>
      <c r="M415" s="1">
        <v>0</v>
      </c>
      <c r="N415" s="4">
        <f t="shared" si="37"/>
        <v>1.1566666666666668E-2</v>
      </c>
      <c r="O415" s="5">
        <f t="shared" si="38"/>
        <v>0</v>
      </c>
      <c r="P415" t="e">
        <f t="shared" si="39"/>
        <v>#DIV/0!</v>
      </c>
      <c r="Q415" s="6" t="e">
        <f t="shared" si="40"/>
        <v>#DIV/0!</v>
      </c>
      <c r="R415" s="6" t="e">
        <f t="shared" si="41"/>
        <v>#DIV/0!</v>
      </c>
      <c r="S415" t="str">
        <f t="shared" si="42"/>
        <v>Alerta</v>
      </c>
    </row>
    <row r="416" spans="1:19" x14ac:dyDescent="0.3">
      <c r="A416" t="s">
        <v>328</v>
      </c>
      <c r="B416" t="s">
        <v>81</v>
      </c>
      <c r="C416" s="5">
        <f>VLOOKUP(A416,Dim!A:B,2,0)</f>
        <v>0</v>
      </c>
      <c r="D416" s="1">
        <v>-2.3800000000000002E-2</v>
      </c>
      <c r="E416" s="1">
        <v>0</v>
      </c>
      <c r="F416">
        <v>1.03</v>
      </c>
      <c r="G416" s="2">
        <v>25101000</v>
      </c>
      <c r="H416">
        <v>0</v>
      </c>
      <c r="I416">
        <v>0</v>
      </c>
      <c r="J416">
        <v>0</v>
      </c>
      <c r="K416">
        <v>0</v>
      </c>
      <c r="L416" s="1">
        <v>0</v>
      </c>
      <c r="M416" s="1">
        <v>0</v>
      </c>
      <c r="N416" s="4">
        <f t="shared" si="37"/>
        <v>0</v>
      </c>
      <c r="O416" s="5">
        <f t="shared" si="38"/>
        <v>0</v>
      </c>
      <c r="P416" t="e">
        <f t="shared" si="39"/>
        <v>#DIV/0!</v>
      </c>
      <c r="Q416" s="6" t="e">
        <f t="shared" si="40"/>
        <v>#DIV/0!</v>
      </c>
      <c r="R416" s="6" t="e">
        <f t="shared" si="41"/>
        <v>#DIV/0!</v>
      </c>
      <c r="S416" t="str">
        <f t="shared" si="42"/>
        <v>Alerta</v>
      </c>
    </row>
    <row r="417" spans="1:19" x14ac:dyDescent="0.3">
      <c r="A417" t="s">
        <v>439</v>
      </c>
      <c r="B417" t="s">
        <v>14</v>
      </c>
      <c r="C417" s="5">
        <f>VLOOKUP(A417,Dim!A:B,2,0)</f>
        <v>81.680000000000007</v>
      </c>
      <c r="D417" s="1">
        <v>0.1406</v>
      </c>
      <c r="E417" s="1">
        <v>0.17349999999999999</v>
      </c>
      <c r="F417">
        <v>0.93</v>
      </c>
      <c r="G417" s="2">
        <v>717755000</v>
      </c>
      <c r="H417" s="2">
        <v>1659520</v>
      </c>
      <c r="I417">
        <v>0</v>
      </c>
      <c r="J417">
        <v>0</v>
      </c>
      <c r="K417">
        <v>0</v>
      </c>
      <c r="L417" s="1">
        <v>0</v>
      </c>
      <c r="M417" s="1">
        <v>0</v>
      </c>
      <c r="N417" s="4">
        <f t="shared" si="37"/>
        <v>1.4458333333333332E-2</v>
      </c>
      <c r="O417" s="5">
        <f t="shared" si="38"/>
        <v>1.1809566666666667</v>
      </c>
      <c r="P417">
        <f t="shared" si="39"/>
        <v>71</v>
      </c>
      <c r="Q417" s="6">
        <f t="shared" si="40"/>
        <v>5799.2800000000007</v>
      </c>
      <c r="R417" s="6">
        <f t="shared" si="41"/>
        <v>83.847923333333327</v>
      </c>
      <c r="S417" t="str">
        <f t="shared" si="42"/>
        <v>Alerta</v>
      </c>
    </row>
    <row r="418" spans="1:19" x14ac:dyDescent="0.3">
      <c r="A418" t="s">
        <v>440</v>
      </c>
      <c r="B418" t="s">
        <v>14</v>
      </c>
      <c r="C418" s="5">
        <f>VLOOKUP(A418,Dim!A:B,2,0)</f>
        <v>87.28</v>
      </c>
      <c r="D418" s="1">
        <v>0.14080000000000001</v>
      </c>
      <c r="E418" s="1">
        <v>0.13950000000000001</v>
      </c>
      <c r="F418">
        <v>0.88</v>
      </c>
      <c r="G418" s="2">
        <v>373997000</v>
      </c>
      <c r="H418" s="2">
        <v>788261</v>
      </c>
      <c r="I418">
        <v>11</v>
      </c>
      <c r="J418" s="3">
        <v>1248.43</v>
      </c>
      <c r="K418">
        <v>116.12</v>
      </c>
      <c r="L418" s="1">
        <v>9.2999999999999999E-2</v>
      </c>
      <c r="M418" s="1">
        <v>0</v>
      </c>
      <c r="N418" s="4">
        <f t="shared" si="37"/>
        <v>1.1625000000000002E-2</v>
      </c>
      <c r="O418" s="5">
        <f t="shared" si="38"/>
        <v>1.0146300000000001</v>
      </c>
      <c r="P418">
        <f t="shared" si="39"/>
        <v>88</v>
      </c>
      <c r="Q418" s="6">
        <f t="shared" si="40"/>
        <v>7680.64</v>
      </c>
      <c r="R418" s="6">
        <f t="shared" si="41"/>
        <v>89.287440000000018</v>
      </c>
      <c r="S418" t="str">
        <f t="shared" si="42"/>
        <v>Bom</v>
      </c>
    </row>
    <row r="419" spans="1:19" x14ac:dyDescent="0.3">
      <c r="A419" t="s">
        <v>319</v>
      </c>
      <c r="B419" t="s">
        <v>14</v>
      </c>
      <c r="C419" s="5">
        <f>VLOOKUP(A419,Dim!A:B,2,0)</f>
        <v>0</v>
      </c>
      <c r="D419" s="1">
        <v>0.1116</v>
      </c>
      <c r="E419" s="1">
        <v>9.7900000000000001E-2</v>
      </c>
      <c r="F419">
        <v>0.86</v>
      </c>
      <c r="G419" s="2">
        <v>957519000</v>
      </c>
      <c r="H419">
        <v>0</v>
      </c>
      <c r="I419">
        <v>1</v>
      </c>
      <c r="J419" s="3">
        <v>1583.25</v>
      </c>
      <c r="K419">
        <v>53.06</v>
      </c>
      <c r="L419" s="1">
        <v>3.3500000000000002E-2</v>
      </c>
      <c r="M419" s="1">
        <v>0.35849999999999999</v>
      </c>
      <c r="N419" s="4">
        <f t="shared" si="37"/>
        <v>8.1583333333333334E-3</v>
      </c>
      <c r="O419" s="5">
        <f t="shared" si="38"/>
        <v>0</v>
      </c>
      <c r="P419" t="e">
        <f t="shared" si="39"/>
        <v>#DIV/0!</v>
      </c>
      <c r="Q419" s="6" t="e">
        <f t="shared" si="40"/>
        <v>#DIV/0!</v>
      </c>
      <c r="R419" s="6" t="e">
        <f t="shared" si="41"/>
        <v>#DIV/0!</v>
      </c>
      <c r="S419" t="str">
        <f t="shared" si="42"/>
        <v>Bom</v>
      </c>
    </row>
    <row r="420" spans="1:19" x14ac:dyDescent="0.3">
      <c r="A420" t="s">
        <v>442</v>
      </c>
      <c r="B420" t="s">
        <v>14</v>
      </c>
      <c r="C420" s="5">
        <f>VLOOKUP(A420,Dim!A:B,2,0)</f>
        <v>190</v>
      </c>
      <c r="D420" s="1">
        <v>-2.8999999999999998E-3</v>
      </c>
      <c r="E420" s="1">
        <v>0.23119999999999999</v>
      </c>
      <c r="F420">
        <v>0.94</v>
      </c>
      <c r="G420" s="2">
        <v>599056000</v>
      </c>
      <c r="H420">
        <v>117</v>
      </c>
      <c r="I420">
        <v>36</v>
      </c>
      <c r="J420">
        <v>946.6</v>
      </c>
      <c r="K420">
        <v>208.45</v>
      </c>
      <c r="L420" s="1">
        <v>0.22020000000000001</v>
      </c>
      <c r="M420" s="1">
        <v>0</v>
      </c>
      <c r="N420" s="4">
        <f t="shared" si="37"/>
        <v>1.9266666666666665E-2</v>
      </c>
      <c r="O420" s="5">
        <f t="shared" si="38"/>
        <v>3.6606666666666663</v>
      </c>
      <c r="P420">
        <f t="shared" si="39"/>
        <v>53</v>
      </c>
      <c r="Q420" s="6">
        <f t="shared" si="40"/>
        <v>10070</v>
      </c>
      <c r="R420" s="6">
        <f t="shared" si="41"/>
        <v>194.0153333333333</v>
      </c>
      <c r="S420" t="str">
        <f t="shared" si="42"/>
        <v>Alerta</v>
      </c>
    </row>
    <row r="421" spans="1:19" x14ac:dyDescent="0.3">
      <c r="A421" t="s">
        <v>443</v>
      </c>
      <c r="B421" t="s">
        <v>14</v>
      </c>
      <c r="C421" s="5">
        <f>VLOOKUP(A421,Dim!A:B,2,0)</f>
        <v>1012.59</v>
      </c>
      <c r="D421" s="1">
        <v>0.1198</v>
      </c>
      <c r="E421" s="1">
        <v>0.1333</v>
      </c>
      <c r="F421">
        <v>1.04</v>
      </c>
      <c r="G421" s="2">
        <v>50359500</v>
      </c>
      <c r="H421" s="2">
        <v>421829</v>
      </c>
      <c r="I421">
        <v>0</v>
      </c>
      <c r="J421">
        <v>0</v>
      </c>
      <c r="K421">
        <v>0</v>
      </c>
      <c r="L421" s="1">
        <v>0</v>
      </c>
      <c r="M421" s="1">
        <v>0</v>
      </c>
      <c r="N421" s="4">
        <f t="shared" si="37"/>
        <v>1.1108333333333333E-2</v>
      </c>
      <c r="O421" s="5">
        <f t="shared" si="38"/>
        <v>11.248187249999999</v>
      </c>
      <c r="P421">
        <f t="shared" si="39"/>
        <v>92</v>
      </c>
      <c r="Q421" s="6">
        <f t="shared" si="40"/>
        <v>93158.28</v>
      </c>
      <c r="R421" s="6">
        <f t="shared" si="41"/>
        <v>1034.8332269999999</v>
      </c>
      <c r="S421" t="str">
        <f t="shared" si="42"/>
        <v>Alerta</v>
      </c>
    </row>
    <row r="422" spans="1:19" x14ac:dyDescent="0.3">
      <c r="A422" t="s">
        <v>444</v>
      </c>
      <c r="B422" t="s">
        <v>14</v>
      </c>
      <c r="C422" s="5">
        <f>VLOOKUP(A422,Dim!A:B,2,0)</f>
        <v>92.79</v>
      </c>
      <c r="D422" s="1">
        <v>0.1479</v>
      </c>
      <c r="E422" s="1">
        <v>0.1331</v>
      </c>
      <c r="F422">
        <v>0.95</v>
      </c>
      <c r="G422" s="2">
        <v>1741140000</v>
      </c>
      <c r="H422" s="2">
        <v>3028380</v>
      </c>
      <c r="I422">
        <v>17</v>
      </c>
      <c r="J422">
        <v>3.16</v>
      </c>
      <c r="K422">
        <v>0.25</v>
      </c>
      <c r="L422" s="1">
        <v>7.9100000000000004E-2</v>
      </c>
      <c r="M422" s="1">
        <v>0.24399999999999999</v>
      </c>
      <c r="N422" s="4">
        <f t="shared" si="37"/>
        <v>1.1091666666666666E-2</v>
      </c>
      <c r="O422" s="5">
        <f t="shared" si="38"/>
        <v>1.02919575</v>
      </c>
      <c r="P422">
        <f t="shared" si="39"/>
        <v>92</v>
      </c>
      <c r="Q422" s="6">
        <f t="shared" si="40"/>
        <v>8536.68</v>
      </c>
      <c r="R422" s="6">
        <f t="shared" si="41"/>
        <v>94.686008999999999</v>
      </c>
      <c r="S422" t="str">
        <f t="shared" si="42"/>
        <v>Bom</v>
      </c>
    </row>
    <row r="423" spans="1:19" x14ac:dyDescent="0.3">
      <c r="A423" t="s">
        <v>445</v>
      </c>
      <c r="B423" t="s">
        <v>47</v>
      </c>
      <c r="C423" s="5">
        <f>VLOOKUP(A423,Dim!A:B,2,0)</f>
        <v>134.85</v>
      </c>
      <c r="D423" s="1">
        <v>9.2499999999999999E-2</v>
      </c>
      <c r="E423" s="1">
        <v>0.1038</v>
      </c>
      <c r="F423">
        <v>0.77</v>
      </c>
      <c r="G423" s="2">
        <v>726752000</v>
      </c>
      <c r="H423" s="2">
        <v>130139</v>
      </c>
      <c r="I423">
        <v>10</v>
      </c>
      <c r="J423">
        <v>3.38</v>
      </c>
      <c r="K423">
        <v>0.35</v>
      </c>
      <c r="L423" s="1">
        <v>0.1021</v>
      </c>
      <c r="M423" s="1">
        <v>0</v>
      </c>
      <c r="N423" s="4">
        <f t="shared" si="37"/>
        <v>8.6499999999999997E-3</v>
      </c>
      <c r="O423" s="5">
        <f t="shared" si="38"/>
        <v>1.1664524999999999</v>
      </c>
      <c r="P423">
        <f t="shared" si="39"/>
        <v>117</v>
      </c>
      <c r="Q423" s="6">
        <f t="shared" si="40"/>
        <v>15777.449999999999</v>
      </c>
      <c r="R423" s="6">
        <f t="shared" si="41"/>
        <v>136.4749425</v>
      </c>
      <c r="S423" t="str">
        <f t="shared" si="42"/>
        <v>Alerta</v>
      </c>
    </row>
    <row r="424" spans="1:19" x14ac:dyDescent="0.3">
      <c r="A424" t="s">
        <v>446</v>
      </c>
      <c r="B424" t="s">
        <v>47</v>
      </c>
      <c r="C424" s="5">
        <f>VLOOKUP(A424,Dim!A:B,2,0)</f>
        <v>1100</v>
      </c>
      <c r="D424" s="1">
        <v>4.8899999999999999E-2</v>
      </c>
      <c r="E424" s="1">
        <v>5.7299999999999997E-2</v>
      </c>
      <c r="F424">
        <v>0.88</v>
      </c>
      <c r="G424" s="2">
        <v>150425000</v>
      </c>
      <c r="H424">
        <v>0</v>
      </c>
      <c r="I424">
        <v>1</v>
      </c>
      <c r="J424">
        <v>828.23</v>
      </c>
      <c r="K424">
        <v>36.880000000000003</v>
      </c>
      <c r="L424" s="1">
        <v>4.4499999999999998E-2</v>
      </c>
      <c r="M424" s="1">
        <v>0</v>
      </c>
      <c r="N424" s="4">
        <f t="shared" si="37"/>
        <v>4.7749999999999997E-3</v>
      </c>
      <c r="O424" s="5">
        <f t="shared" si="38"/>
        <v>5.2524999999999995</v>
      </c>
      <c r="P424">
        <f t="shared" si="39"/>
        <v>211</v>
      </c>
      <c r="Q424" s="6">
        <f t="shared" si="40"/>
        <v>232100</v>
      </c>
      <c r="R424" s="6">
        <f t="shared" si="41"/>
        <v>1108.2774999999999</v>
      </c>
      <c r="S424" t="str">
        <f t="shared" si="42"/>
        <v>Alerta</v>
      </c>
    </row>
    <row r="425" spans="1:19" x14ac:dyDescent="0.3">
      <c r="A425" t="s">
        <v>330</v>
      </c>
      <c r="B425" t="s">
        <v>14</v>
      </c>
      <c r="C425" s="5">
        <f>VLOOKUP(A425,Dim!A:B,2,0)</f>
        <v>0</v>
      </c>
      <c r="D425" s="1">
        <v>0.1323</v>
      </c>
      <c r="E425" s="1">
        <v>0.1598</v>
      </c>
      <c r="F425">
        <v>0.99</v>
      </c>
      <c r="G425" s="2">
        <v>50180000</v>
      </c>
      <c r="H425">
        <v>0</v>
      </c>
      <c r="I425">
        <v>3</v>
      </c>
      <c r="J425">
        <v>0</v>
      </c>
      <c r="K425">
        <v>532.36</v>
      </c>
      <c r="L425" s="1">
        <v>0</v>
      </c>
      <c r="M425" s="1">
        <v>0</v>
      </c>
      <c r="N425" s="4">
        <f t="shared" si="37"/>
        <v>1.3316666666666666E-2</v>
      </c>
      <c r="O425" s="5">
        <f t="shared" si="38"/>
        <v>0</v>
      </c>
      <c r="P425" t="e">
        <f t="shared" si="39"/>
        <v>#DIV/0!</v>
      </c>
      <c r="Q425" s="6" t="e">
        <f t="shared" si="40"/>
        <v>#DIV/0!</v>
      </c>
      <c r="R425" s="6" t="e">
        <f t="shared" si="41"/>
        <v>#DIV/0!</v>
      </c>
      <c r="S425" t="str">
        <f t="shared" si="42"/>
        <v>Alerta</v>
      </c>
    </row>
    <row r="426" spans="1:19" x14ac:dyDescent="0.3">
      <c r="A426" t="s">
        <v>448</v>
      </c>
      <c r="B426" t="s">
        <v>28</v>
      </c>
      <c r="C426" s="5">
        <f>VLOOKUP(A426,Dim!A:B,2,0)</f>
        <v>34.04</v>
      </c>
      <c r="D426" s="1">
        <v>-0.03</v>
      </c>
      <c r="E426" s="1">
        <v>0</v>
      </c>
      <c r="F426">
        <v>0.61</v>
      </c>
      <c r="G426" s="2">
        <v>48668300</v>
      </c>
      <c r="H426">
        <v>0</v>
      </c>
      <c r="I426">
        <v>1</v>
      </c>
      <c r="J426" s="3">
        <v>4449.49</v>
      </c>
      <c r="K426">
        <v>70.69</v>
      </c>
      <c r="L426" s="1">
        <v>1.5900000000000001E-2</v>
      </c>
      <c r="M426" s="1">
        <v>1</v>
      </c>
      <c r="N426" s="4">
        <f t="shared" si="37"/>
        <v>0</v>
      </c>
      <c r="O426" s="5">
        <f t="shared" si="38"/>
        <v>0</v>
      </c>
      <c r="P426" t="e">
        <f t="shared" si="39"/>
        <v>#DIV/0!</v>
      </c>
      <c r="Q426" s="6" t="e">
        <f t="shared" si="40"/>
        <v>#DIV/0!</v>
      </c>
      <c r="R426" s="6" t="e">
        <f t="shared" si="41"/>
        <v>#DIV/0!</v>
      </c>
      <c r="S426" t="str">
        <f t="shared" si="42"/>
        <v>Alerta</v>
      </c>
    </row>
    <row r="427" spans="1:19" x14ac:dyDescent="0.3">
      <c r="A427" t="s">
        <v>331</v>
      </c>
      <c r="B427" t="s">
        <v>14</v>
      </c>
      <c r="C427" s="5">
        <f>VLOOKUP(A427,Dim!A:B,2,0)</f>
        <v>0</v>
      </c>
      <c r="D427" s="1">
        <v>8.8999999999999996E-2</v>
      </c>
      <c r="E427" s="1">
        <v>0.1303</v>
      </c>
      <c r="F427">
        <v>0.99</v>
      </c>
      <c r="G427" s="2">
        <v>58678300</v>
      </c>
      <c r="H427">
        <v>0</v>
      </c>
      <c r="I427">
        <v>0</v>
      </c>
      <c r="J427">
        <v>0</v>
      </c>
      <c r="K427">
        <v>0</v>
      </c>
      <c r="L427" s="1">
        <v>0</v>
      </c>
      <c r="M427" s="1">
        <v>0</v>
      </c>
      <c r="N427" s="4">
        <f t="shared" si="37"/>
        <v>1.0858333333333333E-2</v>
      </c>
      <c r="O427" s="5">
        <f t="shared" si="38"/>
        <v>0</v>
      </c>
      <c r="P427" t="e">
        <f t="shared" si="39"/>
        <v>#DIV/0!</v>
      </c>
      <c r="Q427" s="6" t="e">
        <f t="shared" si="40"/>
        <v>#DIV/0!</v>
      </c>
      <c r="R427" s="6" t="e">
        <f t="shared" si="41"/>
        <v>#DIV/0!</v>
      </c>
      <c r="S427" t="str">
        <f t="shared" si="42"/>
        <v>Alerta</v>
      </c>
    </row>
    <row r="428" spans="1:19" x14ac:dyDescent="0.3">
      <c r="A428" t="s">
        <v>325</v>
      </c>
      <c r="B428" t="s">
        <v>23</v>
      </c>
      <c r="C428" s="5">
        <f>VLOOKUP(A428,Dim!A:B,2,0)</f>
        <v>0</v>
      </c>
      <c r="D428" s="1">
        <v>0.1111</v>
      </c>
      <c r="E428" s="1">
        <v>0</v>
      </c>
      <c r="F428">
        <v>0.96</v>
      </c>
      <c r="G428" s="2">
        <v>126115000</v>
      </c>
      <c r="H428">
        <v>0</v>
      </c>
      <c r="I428">
        <v>0</v>
      </c>
      <c r="J428">
        <v>0</v>
      </c>
      <c r="K428">
        <v>0</v>
      </c>
      <c r="L428" s="1">
        <v>0</v>
      </c>
      <c r="M428" s="1">
        <v>0</v>
      </c>
      <c r="N428" s="4">
        <f t="shared" si="37"/>
        <v>0</v>
      </c>
      <c r="O428" s="5">
        <f t="shared" si="38"/>
        <v>0</v>
      </c>
      <c r="P428" t="e">
        <f t="shared" si="39"/>
        <v>#DIV/0!</v>
      </c>
      <c r="Q428" s="6" t="e">
        <f t="shared" si="40"/>
        <v>#DIV/0!</v>
      </c>
      <c r="R428" s="6" t="e">
        <f t="shared" si="41"/>
        <v>#DIV/0!</v>
      </c>
      <c r="S428" t="str">
        <f t="shared" si="42"/>
        <v>Bom</v>
      </c>
    </row>
    <row r="429" spans="1:19" x14ac:dyDescent="0.3">
      <c r="A429" t="s">
        <v>329</v>
      </c>
      <c r="B429" t="s">
        <v>47</v>
      </c>
      <c r="C429" s="5">
        <f>VLOOKUP(A429,Dim!A:B,2,0)</f>
        <v>0</v>
      </c>
      <c r="D429" s="1">
        <v>5.8200000000000002E-2</v>
      </c>
      <c r="E429" s="1">
        <v>0</v>
      </c>
      <c r="F429">
        <v>0.91</v>
      </c>
      <c r="G429" s="2">
        <v>103703000</v>
      </c>
      <c r="H429">
        <v>0</v>
      </c>
      <c r="I429">
        <v>6</v>
      </c>
      <c r="J429" s="3">
        <v>3132.38</v>
      </c>
      <c r="K429">
        <v>75.430000000000007</v>
      </c>
      <c r="L429" s="1">
        <v>2.41E-2</v>
      </c>
      <c r="M429" s="1">
        <v>8.72E-2</v>
      </c>
      <c r="N429" s="4">
        <f t="shared" si="37"/>
        <v>0</v>
      </c>
      <c r="O429" s="5">
        <f t="shared" si="38"/>
        <v>0</v>
      </c>
      <c r="P429" t="e">
        <f t="shared" si="39"/>
        <v>#DIV/0!</v>
      </c>
      <c r="Q429" s="6" t="e">
        <f t="shared" si="40"/>
        <v>#DIV/0!</v>
      </c>
      <c r="R429" s="6" t="e">
        <f t="shared" si="41"/>
        <v>#DIV/0!</v>
      </c>
      <c r="S429" t="str">
        <f t="shared" si="42"/>
        <v>Bom</v>
      </c>
    </row>
    <row r="430" spans="1:19" x14ac:dyDescent="0.3">
      <c r="A430" t="s">
        <v>332</v>
      </c>
      <c r="B430" t="s">
        <v>23</v>
      </c>
      <c r="C430" s="5">
        <f>VLOOKUP(A430,Dim!A:B,2,0)</f>
        <v>0</v>
      </c>
      <c r="D430" s="1">
        <v>0.1237</v>
      </c>
      <c r="E430" s="1">
        <v>0</v>
      </c>
      <c r="F430">
        <v>0.92</v>
      </c>
      <c r="G430" s="2">
        <v>171455000</v>
      </c>
      <c r="H430">
        <v>0</v>
      </c>
      <c r="I430">
        <v>0</v>
      </c>
      <c r="J430">
        <v>0</v>
      </c>
      <c r="K430">
        <v>0</v>
      </c>
      <c r="L430" s="1">
        <v>0</v>
      </c>
      <c r="M430" s="1">
        <v>0</v>
      </c>
      <c r="N430" s="4">
        <f t="shared" si="37"/>
        <v>0</v>
      </c>
      <c r="O430" s="5">
        <f t="shared" si="38"/>
        <v>0</v>
      </c>
      <c r="P430" t="e">
        <f t="shared" si="39"/>
        <v>#DIV/0!</v>
      </c>
      <c r="Q430" s="6" t="e">
        <f t="shared" si="40"/>
        <v>#DIV/0!</v>
      </c>
      <c r="R430" s="6" t="e">
        <f t="shared" si="41"/>
        <v>#DIV/0!</v>
      </c>
      <c r="S430" t="str">
        <f t="shared" si="42"/>
        <v>Bom</v>
      </c>
    </row>
    <row r="431" spans="1:19" x14ac:dyDescent="0.3">
      <c r="A431" t="s">
        <v>333</v>
      </c>
      <c r="B431" t="s">
        <v>23</v>
      </c>
      <c r="C431" s="5">
        <f>VLOOKUP(A431,Dim!A:B,2,0)</f>
        <v>0</v>
      </c>
      <c r="D431" s="1">
        <v>6.0400000000000002E-2</v>
      </c>
      <c r="E431" s="1">
        <v>0</v>
      </c>
      <c r="F431">
        <v>0.88</v>
      </c>
      <c r="G431" s="2">
        <v>176740000</v>
      </c>
      <c r="H431">
        <v>0</v>
      </c>
      <c r="I431">
        <v>0</v>
      </c>
      <c r="J431">
        <v>0</v>
      </c>
      <c r="K431">
        <v>0</v>
      </c>
      <c r="L431" s="1">
        <v>0</v>
      </c>
      <c r="M431" s="1">
        <v>0</v>
      </c>
      <c r="N431" s="4">
        <f t="shared" si="37"/>
        <v>0</v>
      </c>
      <c r="O431" s="5">
        <f t="shared" si="38"/>
        <v>0</v>
      </c>
      <c r="P431" t="e">
        <f t="shared" si="39"/>
        <v>#DIV/0!</v>
      </c>
      <c r="Q431" s="6" t="e">
        <f t="shared" si="40"/>
        <v>#DIV/0!</v>
      </c>
      <c r="R431" s="6" t="e">
        <f t="shared" si="41"/>
        <v>#DIV/0!</v>
      </c>
      <c r="S431" t="str">
        <f t="shared" si="42"/>
        <v>Bom</v>
      </c>
    </row>
    <row r="432" spans="1:19" x14ac:dyDescent="0.3">
      <c r="A432" t="s">
        <v>454</v>
      </c>
      <c r="B432" t="s">
        <v>19</v>
      </c>
      <c r="C432" s="5">
        <f>VLOOKUP(A432,Dim!A:B,2,0)</f>
        <v>100</v>
      </c>
      <c r="D432" s="1">
        <v>0.1051</v>
      </c>
      <c r="E432" s="1">
        <v>0.11890000000000001</v>
      </c>
      <c r="F432">
        <v>1.1100000000000001</v>
      </c>
      <c r="G432" s="2">
        <v>164000000</v>
      </c>
      <c r="H432">
        <v>0</v>
      </c>
      <c r="I432">
        <v>0</v>
      </c>
      <c r="J432">
        <v>0</v>
      </c>
      <c r="K432">
        <v>0</v>
      </c>
      <c r="L432" s="1">
        <v>0</v>
      </c>
      <c r="M432" s="1">
        <v>0</v>
      </c>
      <c r="N432" s="4">
        <f t="shared" si="37"/>
        <v>9.9083333333333332E-3</v>
      </c>
      <c r="O432" s="5">
        <f t="shared" si="38"/>
        <v>0.99083333333333334</v>
      </c>
      <c r="P432">
        <f t="shared" si="39"/>
        <v>102</v>
      </c>
      <c r="Q432" s="6">
        <f t="shared" si="40"/>
        <v>10200</v>
      </c>
      <c r="R432" s="6">
        <f t="shared" si="41"/>
        <v>101.065</v>
      </c>
      <c r="S432" t="str">
        <f t="shared" si="42"/>
        <v>Alerta</v>
      </c>
    </row>
    <row r="433" spans="1:19" x14ac:dyDescent="0.3">
      <c r="A433" t="s">
        <v>455</v>
      </c>
      <c r="B433" t="s">
        <v>47</v>
      </c>
      <c r="C433" s="5">
        <f>VLOOKUP(A433,Dim!A:B,2,0)</f>
        <v>49.99</v>
      </c>
      <c r="D433" s="1">
        <v>0.14360000000000001</v>
      </c>
      <c r="E433" s="1">
        <v>0.1399</v>
      </c>
      <c r="F433">
        <v>0.53</v>
      </c>
      <c r="G433" s="2">
        <v>82118800</v>
      </c>
      <c r="H433" s="2">
        <v>62804</v>
      </c>
      <c r="I433">
        <v>4</v>
      </c>
      <c r="J433" s="3">
        <v>2020.12</v>
      </c>
      <c r="K433">
        <v>369.04</v>
      </c>
      <c r="L433" s="1">
        <v>0.1827</v>
      </c>
      <c r="M433" s="1">
        <v>0</v>
      </c>
      <c r="N433" s="4">
        <f t="shared" si="37"/>
        <v>1.1658333333333333E-2</v>
      </c>
      <c r="O433" s="5">
        <f t="shared" si="38"/>
        <v>0.58280008333333333</v>
      </c>
      <c r="P433">
        <f t="shared" si="39"/>
        <v>87</v>
      </c>
      <c r="Q433" s="6">
        <f t="shared" si="40"/>
        <v>4349.13</v>
      </c>
      <c r="R433" s="6">
        <f t="shared" si="41"/>
        <v>50.703607249999997</v>
      </c>
      <c r="S433" t="str">
        <f t="shared" si="42"/>
        <v>Bom</v>
      </c>
    </row>
    <row r="434" spans="1:19" x14ac:dyDescent="0.3">
      <c r="A434" t="s">
        <v>338</v>
      </c>
      <c r="B434" t="s">
        <v>14</v>
      </c>
      <c r="C434" s="5">
        <f>VLOOKUP(A434,Dim!A:B,2,0)</f>
        <v>0</v>
      </c>
      <c r="D434" s="1">
        <v>0.21210000000000001</v>
      </c>
      <c r="E434" s="1">
        <v>0.15440000000000001</v>
      </c>
      <c r="F434">
        <v>0.73</v>
      </c>
      <c r="G434" s="2">
        <v>34341600</v>
      </c>
      <c r="H434" s="2">
        <v>63185</v>
      </c>
      <c r="I434">
        <v>0</v>
      </c>
      <c r="J434">
        <v>0</v>
      </c>
      <c r="K434">
        <v>0</v>
      </c>
      <c r="L434" s="1">
        <v>0</v>
      </c>
      <c r="M434" s="1">
        <v>0</v>
      </c>
      <c r="N434" s="4">
        <f t="shared" si="37"/>
        <v>1.2866666666666667E-2</v>
      </c>
      <c r="O434" s="5">
        <f t="shared" si="38"/>
        <v>0</v>
      </c>
      <c r="P434" t="e">
        <f t="shared" si="39"/>
        <v>#DIV/0!</v>
      </c>
      <c r="Q434" s="6" t="e">
        <f t="shared" si="40"/>
        <v>#DIV/0!</v>
      </c>
      <c r="R434" s="6" t="e">
        <f t="shared" si="41"/>
        <v>#DIV/0!</v>
      </c>
      <c r="S434" t="str">
        <f t="shared" si="42"/>
        <v>Bom</v>
      </c>
    </row>
    <row r="435" spans="1:19" x14ac:dyDescent="0.3">
      <c r="A435" t="s">
        <v>457</v>
      </c>
      <c r="B435" t="s">
        <v>16</v>
      </c>
      <c r="C435" s="5">
        <f>VLOOKUP(A435,Dim!A:B,2,0)</f>
        <v>35</v>
      </c>
      <c r="D435" s="1">
        <v>-1.95E-2</v>
      </c>
      <c r="E435" s="1">
        <v>0</v>
      </c>
      <c r="F435">
        <v>1.0900000000000001</v>
      </c>
      <c r="G435" s="2">
        <v>81291700</v>
      </c>
      <c r="H435">
        <v>175</v>
      </c>
      <c r="I435">
        <v>1</v>
      </c>
      <c r="J435" s="3">
        <v>3486.19</v>
      </c>
      <c r="K435">
        <v>305.61</v>
      </c>
      <c r="L435" s="1">
        <v>8.77E-2</v>
      </c>
      <c r="M435" s="1">
        <v>0</v>
      </c>
      <c r="N435" s="4">
        <f t="shared" si="37"/>
        <v>0</v>
      </c>
      <c r="O435" s="5">
        <f t="shared" si="38"/>
        <v>0</v>
      </c>
      <c r="P435" t="e">
        <f t="shared" si="39"/>
        <v>#DIV/0!</v>
      </c>
      <c r="Q435" s="6" t="e">
        <f t="shared" si="40"/>
        <v>#DIV/0!</v>
      </c>
      <c r="R435" s="6" t="e">
        <f t="shared" si="41"/>
        <v>#DIV/0!</v>
      </c>
      <c r="S435" t="str">
        <f t="shared" si="42"/>
        <v>Alerta</v>
      </c>
    </row>
    <row r="436" spans="1:19" x14ac:dyDescent="0.3">
      <c r="A436" t="s">
        <v>458</v>
      </c>
      <c r="B436" t="s">
        <v>16</v>
      </c>
      <c r="C436" s="5">
        <f>VLOOKUP(A436,Dim!A:B,2,0)</f>
        <v>905</v>
      </c>
      <c r="D436" s="1">
        <v>9.0499999999999997E-2</v>
      </c>
      <c r="E436" s="1">
        <v>8.9599999999999999E-2</v>
      </c>
      <c r="F436">
        <v>0.9</v>
      </c>
      <c r="G436" s="2">
        <v>554753000</v>
      </c>
      <c r="H436" s="2">
        <v>67295</v>
      </c>
      <c r="I436">
        <v>1</v>
      </c>
      <c r="J436" s="3">
        <v>15845.6</v>
      </c>
      <c r="K436" s="3">
        <v>1314.83</v>
      </c>
      <c r="L436" s="1">
        <v>8.3000000000000004E-2</v>
      </c>
      <c r="M436" s="1">
        <v>2.3199999999999998E-2</v>
      </c>
      <c r="N436" s="4">
        <f t="shared" si="37"/>
        <v>7.4666666666666666E-3</v>
      </c>
      <c r="O436" s="5">
        <f t="shared" si="38"/>
        <v>6.7573333333333334</v>
      </c>
      <c r="P436">
        <f t="shared" si="39"/>
        <v>135</v>
      </c>
      <c r="Q436" s="6">
        <f t="shared" si="40"/>
        <v>122175</v>
      </c>
      <c r="R436" s="6">
        <f t="shared" si="41"/>
        <v>912.24</v>
      </c>
      <c r="S436" t="str">
        <f t="shared" si="42"/>
        <v>Bom</v>
      </c>
    </row>
    <row r="437" spans="1:19" x14ac:dyDescent="0.3">
      <c r="A437" t="s">
        <v>343</v>
      </c>
      <c r="B437" t="s">
        <v>14</v>
      </c>
      <c r="C437" s="5">
        <f>VLOOKUP(A437,Dim!A:B,2,0)</f>
        <v>0</v>
      </c>
      <c r="D437" s="1">
        <v>2.1332</v>
      </c>
      <c r="E437" s="1">
        <v>0</v>
      </c>
      <c r="F437">
        <v>0.7</v>
      </c>
      <c r="G437" s="2">
        <v>1533140</v>
      </c>
      <c r="H437">
        <v>0</v>
      </c>
      <c r="I437">
        <v>0</v>
      </c>
      <c r="J437">
        <v>0</v>
      </c>
      <c r="K437">
        <v>0</v>
      </c>
      <c r="L437" s="1">
        <v>0</v>
      </c>
      <c r="M437" s="1">
        <v>0</v>
      </c>
      <c r="N437" s="4">
        <f t="shared" si="37"/>
        <v>0</v>
      </c>
      <c r="O437" s="5">
        <f t="shared" si="38"/>
        <v>0</v>
      </c>
      <c r="P437" t="e">
        <f t="shared" si="39"/>
        <v>#DIV/0!</v>
      </c>
      <c r="Q437" s="6" t="e">
        <f t="shared" si="40"/>
        <v>#DIV/0!</v>
      </c>
      <c r="R437" s="6" t="e">
        <f t="shared" si="41"/>
        <v>#DIV/0!</v>
      </c>
      <c r="S437" t="str">
        <f t="shared" si="42"/>
        <v>Bom</v>
      </c>
    </row>
    <row r="438" spans="1:19" x14ac:dyDescent="0.3">
      <c r="A438" t="s">
        <v>348</v>
      </c>
      <c r="B438" t="s">
        <v>23</v>
      </c>
      <c r="C438" s="5">
        <f>VLOOKUP(A438,Dim!A:B,2,0)</f>
        <v>0</v>
      </c>
      <c r="D438" s="1">
        <v>7.3200000000000001E-2</v>
      </c>
      <c r="E438" s="1">
        <v>0</v>
      </c>
      <c r="F438">
        <v>0.92</v>
      </c>
      <c r="G438" s="2">
        <v>23678100</v>
      </c>
      <c r="H438">
        <v>0</v>
      </c>
      <c r="I438">
        <v>0</v>
      </c>
      <c r="J438">
        <v>0</v>
      </c>
      <c r="K438">
        <v>0</v>
      </c>
      <c r="L438" s="1">
        <v>0</v>
      </c>
      <c r="M438" s="1">
        <v>0</v>
      </c>
      <c r="N438" s="4">
        <f t="shared" si="37"/>
        <v>0</v>
      </c>
      <c r="O438" s="5">
        <f t="shared" si="38"/>
        <v>0</v>
      </c>
      <c r="P438" t="e">
        <f t="shared" si="39"/>
        <v>#DIV/0!</v>
      </c>
      <c r="Q438" s="6" t="e">
        <f t="shared" si="40"/>
        <v>#DIV/0!</v>
      </c>
      <c r="R438" s="6" t="e">
        <f t="shared" si="41"/>
        <v>#DIV/0!</v>
      </c>
      <c r="S438" t="str">
        <f t="shared" si="42"/>
        <v>Bom</v>
      </c>
    </row>
    <row r="439" spans="1:19" x14ac:dyDescent="0.3">
      <c r="A439" t="s">
        <v>352</v>
      </c>
      <c r="B439" t="s">
        <v>19</v>
      </c>
      <c r="C439" s="5">
        <f>VLOOKUP(A439,Dim!A:B,2,0)</f>
        <v>0</v>
      </c>
      <c r="D439" s="1">
        <v>0</v>
      </c>
      <c r="E439" s="1">
        <v>0</v>
      </c>
      <c r="F439">
        <v>0.66</v>
      </c>
      <c r="G439" s="2">
        <v>26970000</v>
      </c>
      <c r="H439">
        <v>0</v>
      </c>
      <c r="I439">
        <v>0</v>
      </c>
      <c r="J439">
        <v>0</v>
      </c>
      <c r="K439">
        <v>0</v>
      </c>
      <c r="L439" s="1">
        <v>0</v>
      </c>
      <c r="M439" s="1">
        <v>0</v>
      </c>
      <c r="N439" s="4">
        <f t="shared" si="37"/>
        <v>0</v>
      </c>
      <c r="O439" s="5">
        <f t="shared" si="38"/>
        <v>0</v>
      </c>
      <c r="P439" t="e">
        <f t="shared" si="39"/>
        <v>#DIV/0!</v>
      </c>
      <c r="Q439" s="6" t="e">
        <f t="shared" si="40"/>
        <v>#DIV/0!</v>
      </c>
      <c r="R439" s="6" t="e">
        <f t="shared" si="41"/>
        <v>#DIV/0!</v>
      </c>
      <c r="S439" t="str">
        <f t="shared" si="42"/>
        <v>netro</v>
      </c>
    </row>
    <row r="440" spans="1:19" x14ac:dyDescent="0.3">
      <c r="A440" t="s">
        <v>462</v>
      </c>
      <c r="B440" t="s">
        <v>19</v>
      </c>
      <c r="C440" s="5">
        <f>VLOOKUP(A440,Dim!A:B,2,0)</f>
        <v>78.5</v>
      </c>
      <c r="D440" s="1">
        <v>3.7499999999999999E-2</v>
      </c>
      <c r="E440" s="1">
        <v>0.155</v>
      </c>
      <c r="F440">
        <v>0.78</v>
      </c>
      <c r="G440" s="2">
        <v>82309600</v>
      </c>
      <c r="H440" s="2">
        <v>354656</v>
      </c>
      <c r="I440">
        <v>0</v>
      </c>
      <c r="J440">
        <v>0</v>
      </c>
      <c r="K440">
        <v>0</v>
      </c>
      <c r="L440" s="1">
        <v>0</v>
      </c>
      <c r="M440" s="1">
        <v>0</v>
      </c>
      <c r="N440" s="4">
        <f t="shared" si="37"/>
        <v>1.2916666666666667E-2</v>
      </c>
      <c r="O440" s="5">
        <f t="shared" si="38"/>
        <v>1.0139583333333333</v>
      </c>
      <c r="P440">
        <f t="shared" si="39"/>
        <v>79</v>
      </c>
      <c r="Q440" s="6">
        <f t="shared" si="40"/>
        <v>6201.5</v>
      </c>
      <c r="R440" s="6">
        <f t="shared" si="41"/>
        <v>80.102708333333325</v>
      </c>
      <c r="S440" t="str">
        <f t="shared" si="42"/>
        <v>Alerta</v>
      </c>
    </row>
    <row r="441" spans="1:19" x14ac:dyDescent="0.3">
      <c r="A441" t="s">
        <v>353</v>
      </c>
      <c r="B441" t="s">
        <v>81</v>
      </c>
      <c r="C441" s="5">
        <f>VLOOKUP(A441,Dim!A:B,2,0)</f>
        <v>0</v>
      </c>
      <c r="D441" s="1">
        <v>0</v>
      </c>
      <c r="E441" s="1">
        <v>0</v>
      </c>
      <c r="F441">
        <v>0</v>
      </c>
      <c r="G441">
        <v>0</v>
      </c>
      <c r="H441">
        <v>0</v>
      </c>
      <c r="I441">
        <v>8</v>
      </c>
      <c r="J441">
        <v>0</v>
      </c>
      <c r="K441">
        <v>161.02000000000001</v>
      </c>
      <c r="L441" s="1">
        <v>0</v>
      </c>
      <c r="M441" s="1">
        <v>0</v>
      </c>
      <c r="N441" s="4">
        <f t="shared" si="37"/>
        <v>0</v>
      </c>
      <c r="O441" s="5">
        <f t="shared" si="38"/>
        <v>0</v>
      </c>
      <c r="P441" t="e">
        <f t="shared" si="39"/>
        <v>#DIV/0!</v>
      </c>
      <c r="Q441" s="6" t="e">
        <f t="shared" si="40"/>
        <v>#DIV/0!</v>
      </c>
      <c r="R441" s="6" t="e">
        <f t="shared" si="41"/>
        <v>#DIV/0!</v>
      </c>
      <c r="S441" t="str">
        <f t="shared" si="42"/>
        <v>netro</v>
      </c>
    </row>
    <row r="442" spans="1:19" x14ac:dyDescent="0.3">
      <c r="A442" t="s">
        <v>464</v>
      </c>
      <c r="B442" t="s">
        <v>14</v>
      </c>
      <c r="C442" s="5">
        <f>VLOOKUP(A442,Dim!A:B,2,0)</f>
        <v>81.2</v>
      </c>
      <c r="D442" s="1">
        <v>0.13009999999999999</v>
      </c>
      <c r="E442" s="1">
        <v>0.14499999999999999</v>
      </c>
      <c r="F442">
        <v>0.84</v>
      </c>
      <c r="G442" s="2">
        <v>343224000</v>
      </c>
      <c r="H442" s="2">
        <v>737558</v>
      </c>
      <c r="I442">
        <v>0</v>
      </c>
      <c r="J442">
        <v>0</v>
      </c>
      <c r="K442">
        <v>0</v>
      </c>
      <c r="L442" s="1">
        <v>0</v>
      </c>
      <c r="M442" s="1">
        <v>0</v>
      </c>
      <c r="N442" s="4">
        <f t="shared" si="37"/>
        <v>1.2083333333333333E-2</v>
      </c>
      <c r="O442" s="5">
        <f t="shared" si="38"/>
        <v>0.98116666666666663</v>
      </c>
      <c r="P442">
        <f t="shared" si="39"/>
        <v>84</v>
      </c>
      <c r="Q442" s="6">
        <f t="shared" si="40"/>
        <v>6820.8</v>
      </c>
      <c r="R442" s="6">
        <f t="shared" si="41"/>
        <v>82.417999999999992</v>
      </c>
      <c r="S442" t="str">
        <f t="shared" si="42"/>
        <v>Alerta</v>
      </c>
    </row>
    <row r="443" spans="1:19" x14ac:dyDescent="0.3">
      <c r="A443" t="s">
        <v>354</v>
      </c>
      <c r="B443" t="s">
        <v>23</v>
      </c>
      <c r="C443" s="5">
        <f>VLOOKUP(A443,Dim!A:B,2,0)</f>
        <v>0</v>
      </c>
      <c r="D443" s="1">
        <v>0</v>
      </c>
      <c r="E443" s="1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s="1">
        <v>0</v>
      </c>
      <c r="M443" s="1">
        <v>0</v>
      </c>
      <c r="N443" s="4">
        <f t="shared" si="37"/>
        <v>0</v>
      </c>
      <c r="O443" s="5">
        <f t="shared" si="38"/>
        <v>0</v>
      </c>
      <c r="P443" t="e">
        <f t="shared" si="39"/>
        <v>#DIV/0!</v>
      </c>
      <c r="Q443" s="6" t="e">
        <f t="shared" si="40"/>
        <v>#DIV/0!</v>
      </c>
      <c r="R443" s="6" t="e">
        <f t="shared" si="41"/>
        <v>#DIV/0!</v>
      </c>
      <c r="S443" t="str">
        <f t="shared" si="42"/>
        <v>netro</v>
      </c>
    </row>
    <row r="444" spans="1:19" x14ac:dyDescent="0.3">
      <c r="A444" t="s">
        <v>357</v>
      </c>
      <c r="B444" t="s">
        <v>81</v>
      </c>
      <c r="C444" s="5">
        <f>VLOOKUP(A444,Dim!A:B,2,0)</f>
        <v>0</v>
      </c>
      <c r="D444" s="1">
        <v>0</v>
      </c>
      <c r="E444" s="1">
        <v>0</v>
      </c>
      <c r="F444">
        <v>0</v>
      </c>
      <c r="G444">
        <v>0</v>
      </c>
      <c r="H444">
        <v>0</v>
      </c>
      <c r="I444">
        <v>8</v>
      </c>
      <c r="J444">
        <v>0</v>
      </c>
      <c r="K444">
        <v>161.02000000000001</v>
      </c>
      <c r="L444" s="1">
        <v>0</v>
      </c>
      <c r="M444" s="1">
        <v>0</v>
      </c>
      <c r="N444" s="4">
        <f t="shared" si="37"/>
        <v>0</v>
      </c>
      <c r="O444" s="5">
        <f t="shared" si="38"/>
        <v>0</v>
      </c>
      <c r="P444" t="e">
        <f t="shared" si="39"/>
        <v>#DIV/0!</v>
      </c>
      <c r="Q444" s="6" t="e">
        <f t="shared" si="40"/>
        <v>#DIV/0!</v>
      </c>
      <c r="R444" s="6" t="e">
        <f t="shared" si="41"/>
        <v>#DIV/0!</v>
      </c>
      <c r="S444" t="str">
        <f t="shared" si="42"/>
        <v>netro</v>
      </c>
    </row>
    <row r="445" spans="1:19" x14ac:dyDescent="0.3">
      <c r="A445" t="s">
        <v>467</v>
      </c>
      <c r="B445" t="s">
        <v>14</v>
      </c>
      <c r="C445" s="5">
        <f>VLOOKUP(A445,Dim!A:B,2,0)</f>
        <v>70.05</v>
      </c>
      <c r="D445" s="1">
        <v>0.1123</v>
      </c>
      <c r="E445" s="1">
        <v>0.12759999999999999</v>
      </c>
      <c r="F445">
        <v>0.82</v>
      </c>
      <c r="G445" s="2">
        <v>281123000</v>
      </c>
      <c r="H445" s="2">
        <v>557233</v>
      </c>
      <c r="I445">
        <v>0</v>
      </c>
      <c r="J445">
        <v>0</v>
      </c>
      <c r="K445">
        <v>0</v>
      </c>
      <c r="L445" s="1">
        <v>0</v>
      </c>
      <c r="M445" s="1">
        <v>0</v>
      </c>
      <c r="N445" s="4">
        <f t="shared" si="37"/>
        <v>1.0633333333333333E-2</v>
      </c>
      <c r="O445" s="5">
        <f t="shared" si="38"/>
        <v>0.744865</v>
      </c>
      <c r="P445">
        <f t="shared" si="39"/>
        <v>96</v>
      </c>
      <c r="Q445" s="6">
        <f t="shared" si="40"/>
        <v>6724.7999999999993</v>
      </c>
      <c r="R445" s="6">
        <f t="shared" si="41"/>
        <v>71.507040000000003</v>
      </c>
      <c r="S445" t="str">
        <f t="shared" si="42"/>
        <v>Alerta</v>
      </c>
    </row>
    <row r="446" spans="1:19" x14ac:dyDescent="0.3">
      <c r="A446" t="s">
        <v>351</v>
      </c>
      <c r="B446" t="s">
        <v>142</v>
      </c>
      <c r="C446" s="5">
        <f>VLOOKUP(A446,Dim!A:B,2,0)</f>
        <v>0</v>
      </c>
      <c r="D446" s="1">
        <v>6.08E-2</v>
      </c>
      <c r="E446" s="1">
        <v>0</v>
      </c>
      <c r="F446">
        <v>1.0900000000000001</v>
      </c>
      <c r="G446" s="2">
        <v>182227000</v>
      </c>
      <c r="H446">
        <v>0</v>
      </c>
      <c r="I446">
        <v>0</v>
      </c>
      <c r="J446">
        <v>0</v>
      </c>
      <c r="K446">
        <v>0</v>
      </c>
      <c r="L446" s="1">
        <v>0</v>
      </c>
      <c r="M446" s="1">
        <v>0</v>
      </c>
      <c r="N446" s="4">
        <f t="shared" si="37"/>
        <v>0</v>
      </c>
      <c r="O446" s="5">
        <f t="shared" si="38"/>
        <v>0</v>
      </c>
      <c r="P446" t="e">
        <f t="shared" si="39"/>
        <v>#DIV/0!</v>
      </c>
      <c r="Q446" s="6" t="e">
        <f t="shared" si="40"/>
        <v>#DIV/0!</v>
      </c>
      <c r="R446" s="6" t="e">
        <f t="shared" si="41"/>
        <v>#DIV/0!</v>
      </c>
      <c r="S446" t="str">
        <f t="shared" si="42"/>
        <v>Bom</v>
      </c>
    </row>
    <row r="447" spans="1:19" x14ac:dyDescent="0.3">
      <c r="A447" t="s">
        <v>362</v>
      </c>
      <c r="B447" t="s">
        <v>47</v>
      </c>
      <c r="C447" s="5">
        <f>VLOOKUP(A447,Dim!A:B,2,0)</f>
        <v>0</v>
      </c>
      <c r="D447" s="1">
        <v>8.8999999999999999E-3</v>
      </c>
      <c r="E447" s="1">
        <v>0</v>
      </c>
      <c r="F447">
        <v>2.1800000000000002</v>
      </c>
      <c r="G447" s="2">
        <v>264257000</v>
      </c>
      <c r="H447">
        <v>0</v>
      </c>
      <c r="I447">
        <v>2</v>
      </c>
      <c r="J447" s="3">
        <v>1327.37</v>
      </c>
      <c r="K447">
        <v>108.69</v>
      </c>
      <c r="L447" s="1">
        <v>8.1900000000000001E-2</v>
      </c>
      <c r="M447" s="1">
        <v>0</v>
      </c>
      <c r="N447" s="4">
        <f t="shared" si="37"/>
        <v>0</v>
      </c>
      <c r="O447" s="5">
        <f t="shared" si="38"/>
        <v>0</v>
      </c>
      <c r="P447" t="e">
        <f t="shared" si="39"/>
        <v>#DIV/0!</v>
      </c>
      <c r="Q447" s="6" t="e">
        <f t="shared" si="40"/>
        <v>#DIV/0!</v>
      </c>
      <c r="R447" s="6" t="e">
        <f t="shared" si="41"/>
        <v>#DIV/0!</v>
      </c>
      <c r="S447" t="str">
        <f t="shared" si="42"/>
        <v>Bom</v>
      </c>
    </row>
    <row r="448" spans="1:19" x14ac:dyDescent="0.3">
      <c r="A448" t="s">
        <v>367</v>
      </c>
      <c r="B448" t="s">
        <v>47</v>
      </c>
      <c r="C448" s="5">
        <f>VLOOKUP(A448,Dim!A:B,2,0)</f>
        <v>0</v>
      </c>
      <c r="D448" s="1">
        <v>0.1454</v>
      </c>
      <c r="E448" s="1">
        <v>0</v>
      </c>
      <c r="F448">
        <v>0.62</v>
      </c>
      <c r="G448" s="2">
        <v>50032500</v>
      </c>
      <c r="H448">
        <v>0</v>
      </c>
      <c r="I448">
        <v>1</v>
      </c>
      <c r="J448">
        <v>696.98</v>
      </c>
      <c r="K448">
        <v>130.27000000000001</v>
      </c>
      <c r="L448" s="1">
        <v>0.18690000000000001</v>
      </c>
      <c r="M448" s="1">
        <v>0</v>
      </c>
      <c r="N448" s="4">
        <f t="shared" si="37"/>
        <v>0</v>
      </c>
      <c r="O448" s="5">
        <f t="shared" si="38"/>
        <v>0</v>
      </c>
      <c r="P448" t="e">
        <f t="shared" si="39"/>
        <v>#DIV/0!</v>
      </c>
      <c r="Q448" s="6" t="e">
        <f t="shared" si="40"/>
        <v>#DIV/0!</v>
      </c>
      <c r="R448" s="6" t="e">
        <f t="shared" si="41"/>
        <v>#DIV/0!</v>
      </c>
      <c r="S448" t="str">
        <f t="shared" si="42"/>
        <v>Bom</v>
      </c>
    </row>
    <row r="449" spans="1:19" x14ac:dyDescent="0.3">
      <c r="A449" t="s">
        <v>471</v>
      </c>
      <c r="B449" t="s">
        <v>14</v>
      </c>
      <c r="C449" s="5">
        <f>VLOOKUP(A449,Dim!A:B,2,0)</f>
        <v>126</v>
      </c>
      <c r="D449" s="1">
        <v>-1.37E-2</v>
      </c>
      <c r="E449" s="1">
        <v>3.78E-2</v>
      </c>
      <c r="F449">
        <v>1.17</v>
      </c>
      <c r="G449" s="2">
        <v>38709800</v>
      </c>
      <c r="H449" s="2">
        <v>4827</v>
      </c>
      <c r="I449">
        <v>0</v>
      </c>
      <c r="J449">
        <v>0</v>
      </c>
      <c r="K449">
        <v>0</v>
      </c>
      <c r="L449" s="1">
        <v>0</v>
      </c>
      <c r="M449" s="1">
        <v>0</v>
      </c>
      <c r="N449" s="4">
        <f t="shared" si="37"/>
        <v>3.15E-3</v>
      </c>
      <c r="O449" s="5">
        <f t="shared" si="38"/>
        <v>0.39690000000000003</v>
      </c>
      <c r="P449">
        <f t="shared" si="39"/>
        <v>319</v>
      </c>
      <c r="Q449" s="6">
        <f t="shared" si="40"/>
        <v>40194</v>
      </c>
      <c r="R449" s="6">
        <f t="shared" si="41"/>
        <v>126.61110000000001</v>
      </c>
      <c r="S449" t="str">
        <f t="shared" si="42"/>
        <v>Alerta</v>
      </c>
    </row>
    <row r="450" spans="1:19" x14ac:dyDescent="0.3">
      <c r="A450" t="s">
        <v>472</v>
      </c>
      <c r="B450" t="s">
        <v>28</v>
      </c>
      <c r="C450" s="5">
        <f>VLOOKUP(A450,Dim!A:B,2,0)</f>
        <v>1051.3499999999999</v>
      </c>
      <c r="D450" s="1">
        <v>-2.24E-2</v>
      </c>
      <c r="E450" s="1">
        <v>0</v>
      </c>
      <c r="F450">
        <v>1.1299999999999999</v>
      </c>
      <c r="G450" s="2">
        <v>68899200</v>
      </c>
      <c r="H450">
        <v>0</v>
      </c>
      <c r="I450">
        <v>1</v>
      </c>
      <c r="J450" s="3">
        <v>7882.83</v>
      </c>
      <c r="K450">
        <v>0</v>
      </c>
      <c r="L450" s="1">
        <v>0</v>
      </c>
      <c r="M450" s="1">
        <v>0</v>
      </c>
      <c r="N450" s="4">
        <f t="shared" ref="N450:N513" si="43">E450/12</f>
        <v>0</v>
      </c>
      <c r="O450" s="5">
        <f t="shared" ref="O450:O513" si="44">N450*C450</f>
        <v>0</v>
      </c>
      <c r="P450" t="e">
        <f t="shared" ref="P450:P513" si="45">ROUNDUP((C450/O450),0)+1</f>
        <v>#DIV/0!</v>
      </c>
      <c r="Q450" s="6" t="e">
        <f t="shared" ref="Q450:Q513" si="46">P450*C450</f>
        <v>#DIV/0!</v>
      </c>
      <c r="R450" s="6" t="e">
        <f t="shared" ref="R450:R513" si="47">P450*O450</f>
        <v>#DIV/0!</v>
      </c>
      <c r="S450" t="str">
        <f t="shared" si="42"/>
        <v>Alerta</v>
      </c>
    </row>
    <row r="451" spans="1:19" x14ac:dyDescent="0.3">
      <c r="A451" t="s">
        <v>473</v>
      </c>
      <c r="B451" t="s">
        <v>37</v>
      </c>
      <c r="C451" s="5">
        <f>VLOOKUP(A451,Dim!A:B,2,0)</f>
        <v>1266.67</v>
      </c>
      <c r="D451" s="1">
        <v>0.13969999999999999</v>
      </c>
      <c r="E451" s="1">
        <v>0.15310000000000001</v>
      </c>
      <c r="F451">
        <v>0.96</v>
      </c>
      <c r="G451" s="2">
        <v>115774000</v>
      </c>
      <c r="H451">
        <v>0</v>
      </c>
      <c r="I451">
        <v>0</v>
      </c>
      <c r="J451">
        <v>0</v>
      </c>
      <c r="K451">
        <v>0</v>
      </c>
      <c r="L451" s="1">
        <v>0</v>
      </c>
      <c r="M451" s="1">
        <v>0</v>
      </c>
      <c r="N451" s="4">
        <f t="shared" si="43"/>
        <v>1.2758333333333335E-2</v>
      </c>
      <c r="O451" s="5">
        <f t="shared" si="44"/>
        <v>16.160598083333337</v>
      </c>
      <c r="P451">
        <f t="shared" si="45"/>
        <v>80</v>
      </c>
      <c r="Q451" s="6">
        <f t="shared" si="46"/>
        <v>101333.6</v>
      </c>
      <c r="R451" s="6">
        <f t="shared" si="47"/>
        <v>1292.847846666667</v>
      </c>
      <c r="S451" t="str">
        <f t="shared" si="42"/>
        <v>Alerta</v>
      </c>
    </row>
    <row r="452" spans="1:19" x14ac:dyDescent="0.3">
      <c r="A452" t="s">
        <v>474</v>
      </c>
      <c r="B452" t="s">
        <v>19</v>
      </c>
      <c r="C452" s="5">
        <f>VLOOKUP(A452,Dim!A:B,2,0)</f>
        <v>144</v>
      </c>
      <c r="D452" s="1">
        <v>-1.4E-3</v>
      </c>
      <c r="E452" s="1">
        <v>0</v>
      </c>
      <c r="F452">
        <v>1.07</v>
      </c>
      <c r="G452" s="2">
        <v>261122000</v>
      </c>
      <c r="H452">
        <v>0</v>
      </c>
      <c r="I452">
        <v>0</v>
      </c>
      <c r="J452">
        <v>0</v>
      </c>
      <c r="K452">
        <v>0</v>
      </c>
      <c r="L452" s="1">
        <v>0</v>
      </c>
      <c r="M452" s="1">
        <v>0</v>
      </c>
      <c r="N452" s="4">
        <f t="shared" si="43"/>
        <v>0</v>
      </c>
      <c r="O452" s="5">
        <f t="shared" si="44"/>
        <v>0</v>
      </c>
      <c r="P452" t="e">
        <f t="shared" si="45"/>
        <v>#DIV/0!</v>
      </c>
      <c r="Q452" s="6" t="e">
        <f t="shared" si="46"/>
        <v>#DIV/0!</v>
      </c>
      <c r="R452" s="6" t="e">
        <f t="shared" si="47"/>
        <v>#DIV/0!</v>
      </c>
      <c r="S452" t="str">
        <f t="shared" si="42"/>
        <v>Alerta</v>
      </c>
    </row>
    <row r="453" spans="1:19" x14ac:dyDescent="0.3">
      <c r="A453" t="s">
        <v>475</v>
      </c>
      <c r="B453" t="s">
        <v>14</v>
      </c>
      <c r="C453" s="5">
        <f>VLOOKUP(A453,Dim!A:B,2,0)</f>
        <v>35.549999999999997</v>
      </c>
      <c r="D453" s="1">
        <v>0.2422</v>
      </c>
      <c r="E453" s="1">
        <v>0.14199999999999999</v>
      </c>
      <c r="F453">
        <v>0.6</v>
      </c>
      <c r="G453" s="2">
        <v>63451400</v>
      </c>
      <c r="H453" s="2">
        <v>61388</v>
      </c>
      <c r="I453">
        <v>1</v>
      </c>
      <c r="J453" s="3">
        <v>4403.2</v>
      </c>
      <c r="K453" s="3">
        <v>1156.1099999999999</v>
      </c>
      <c r="L453" s="1">
        <v>0.2626</v>
      </c>
      <c r="M453" s="1">
        <v>0</v>
      </c>
      <c r="N453" s="4">
        <f t="shared" si="43"/>
        <v>1.1833333333333333E-2</v>
      </c>
      <c r="O453" s="5">
        <f t="shared" si="44"/>
        <v>0.42067499999999997</v>
      </c>
      <c r="P453">
        <f t="shared" si="45"/>
        <v>86</v>
      </c>
      <c r="Q453" s="6">
        <f t="shared" si="46"/>
        <v>3057.2999999999997</v>
      </c>
      <c r="R453" s="6">
        <f t="shared" si="47"/>
        <v>36.178049999999999</v>
      </c>
      <c r="S453" t="str">
        <f t="shared" ref="S453:S516" si="48">IF(D453&gt;E453,"Bom",IF(D453=E453,"netro","Alerta"))</f>
        <v>Bom</v>
      </c>
    </row>
    <row r="454" spans="1:19" x14ac:dyDescent="0.3">
      <c r="A454" t="s">
        <v>382</v>
      </c>
      <c r="B454" t="s">
        <v>16</v>
      </c>
      <c r="C454" s="5">
        <f>VLOOKUP(A454,Dim!A:B,2,0)</f>
        <v>0</v>
      </c>
      <c r="D454" s="1">
        <v>0.1188</v>
      </c>
      <c r="E454" s="1">
        <v>0</v>
      </c>
      <c r="F454">
        <v>0.82</v>
      </c>
      <c r="G454" s="2">
        <v>107954000</v>
      </c>
      <c r="H454">
        <v>0</v>
      </c>
      <c r="I454">
        <v>2</v>
      </c>
      <c r="J454" s="3">
        <v>19149.099999999999</v>
      </c>
      <c r="K454" s="3">
        <v>2369.56</v>
      </c>
      <c r="L454" s="1">
        <v>0.1237</v>
      </c>
      <c r="M454" s="1">
        <v>9.7000000000000003E-2</v>
      </c>
      <c r="N454" s="4">
        <f t="shared" si="43"/>
        <v>0</v>
      </c>
      <c r="O454" s="5">
        <f t="shared" si="44"/>
        <v>0</v>
      </c>
      <c r="P454" t="e">
        <f t="shared" si="45"/>
        <v>#DIV/0!</v>
      </c>
      <c r="Q454" s="6" t="e">
        <f t="shared" si="46"/>
        <v>#DIV/0!</v>
      </c>
      <c r="R454" s="6" t="e">
        <f t="shared" si="47"/>
        <v>#DIV/0!</v>
      </c>
      <c r="S454" t="str">
        <f t="shared" si="48"/>
        <v>Bom</v>
      </c>
    </row>
    <row r="455" spans="1:19" x14ac:dyDescent="0.3">
      <c r="A455" t="s">
        <v>384</v>
      </c>
      <c r="B455" t="s">
        <v>14</v>
      </c>
      <c r="C455" s="5">
        <f>VLOOKUP(A455,Dim!A:B,2,0)</f>
        <v>0</v>
      </c>
      <c r="D455" s="1">
        <v>0.13189999999999999</v>
      </c>
      <c r="E455" s="1">
        <v>0.12939999999999999</v>
      </c>
      <c r="F455">
        <v>0.68</v>
      </c>
      <c r="G455" s="2">
        <v>206640000</v>
      </c>
      <c r="H455" s="2">
        <v>149034</v>
      </c>
      <c r="I455">
        <v>12</v>
      </c>
      <c r="J455" s="3">
        <v>1432.53</v>
      </c>
      <c r="K455">
        <v>217.65</v>
      </c>
      <c r="L455" s="1">
        <v>0.15190000000000001</v>
      </c>
      <c r="M455" s="1">
        <v>0</v>
      </c>
      <c r="N455" s="4">
        <f t="shared" si="43"/>
        <v>1.0783333333333332E-2</v>
      </c>
      <c r="O455" s="5">
        <f t="shared" si="44"/>
        <v>0</v>
      </c>
      <c r="P455" t="e">
        <f t="shared" si="45"/>
        <v>#DIV/0!</v>
      </c>
      <c r="Q455" s="6" t="e">
        <f t="shared" si="46"/>
        <v>#DIV/0!</v>
      </c>
      <c r="R455" s="6" t="e">
        <f t="shared" si="47"/>
        <v>#DIV/0!</v>
      </c>
      <c r="S455" t="str">
        <f t="shared" si="48"/>
        <v>Bom</v>
      </c>
    </row>
    <row r="456" spans="1:19" x14ac:dyDescent="0.3">
      <c r="A456" t="s">
        <v>478</v>
      </c>
      <c r="B456" t="s">
        <v>16</v>
      </c>
      <c r="C456" s="5">
        <f>VLOOKUP(A456,Dim!A:B,2,0)</f>
        <v>141.96</v>
      </c>
      <c r="D456" s="1">
        <v>7.22E-2</v>
      </c>
      <c r="E456" s="1">
        <v>7.0400000000000004E-2</v>
      </c>
      <c r="F456">
        <v>1</v>
      </c>
      <c r="G456" s="2">
        <v>229061000</v>
      </c>
      <c r="H456">
        <v>3</v>
      </c>
      <c r="I456">
        <v>2</v>
      </c>
      <c r="J456" s="3">
        <v>4339.1400000000003</v>
      </c>
      <c r="K456">
        <v>327.01</v>
      </c>
      <c r="L456" s="1">
        <v>7.5399999999999995E-2</v>
      </c>
      <c r="M456" s="1">
        <v>5.11E-2</v>
      </c>
      <c r="N456" s="4">
        <f t="shared" si="43"/>
        <v>5.8666666666666667E-3</v>
      </c>
      <c r="O456" s="5">
        <f t="shared" si="44"/>
        <v>0.83283200000000002</v>
      </c>
      <c r="P456">
        <f t="shared" si="45"/>
        <v>172</v>
      </c>
      <c r="Q456" s="6">
        <f t="shared" si="46"/>
        <v>24417.120000000003</v>
      </c>
      <c r="R456" s="6">
        <f t="shared" si="47"/>
        <v>143.24710400000001</v>
      </c>
      <c r="S456" t="str">
        <f t="shared" si="48"/>
        <v>Bom</v>
      </c>
    </row>
    <row r="457" spans="1:19" x14ac:dyDescent="0.3">
      <c r="A457" t="s">
        <v>385</v>
      </c>
      <c r="B457" t="s">
        <v>23</v>
      </c>
      <c r="C457" s="5">
        <f>VLOOKUP(A457,Dim!A:B,2,0)</f>
        <v>0</v>
      </c>
      <c r="D457" s="1">
        <v>0.24529999999999999</v>
      </c>
      <c r="E457" s="1">
        <v>0</v>
      </c>
      <c r="F457">
        <v>0.91</v>
      </c>
      <c r="G457" s="2">
        <v>67862400</v>
      </c>
      <c r="H457">
        <v>0</v>
      </c>
      <c r="I457">
        <v>0</v>
      </c>
      <c r="J457">
        <v>0</v>
      </c>
      <c r="K457">
        <v>0</v>
      </c>
      <c r="L457" s="1">
        <v>0</v>
      </c>
      <c r="M457" s="1">
        <v>0</v>
      </c>
      <c r="N457" s="4">
        <f t="shared" si="43"/>
        <v>0</v>
      </c>
      <c r="O457" s="5">
        <f t="shared" si="44"/>
        <v>0</v>
      </c>
      <c r="P457" t="e">
        <f t="shared" si="45"/>
        <v>#DIV/0!</v>
      </c>
      <c r="Q457" s="6" t="e">
        <f t="shared" si="46"/>
        <v>#DIV/0!</v>
      </c>
      <c r="R457" s="6" t="e">
        <f t="shared" si="47"/>
        <v>#DIV/0!</v>
      </c>
      <c r="S457" t="str">
        <f t="shared" si="48"/>
        <v>Bom</v>
      </c>
    </row>
    <row r="458" spans="1:19" x14ac:dyDescent="0.3">
      <c r="A458" t="s">
        <v>386</v>
      </c>
      <c r="B458" t="s">
        <v>23</v>
      </c>
      <c r="C458" s="5">
        <f>VLOOKUP(A458,Dim!A:B,2,0)</f>
        <v>0</v>
      </c>
      <c r="D458" s="1">
        <v>7.6300000000000007E-2</v>
      </c>
      <c r="E458" s="1">
        <v>0</v>
      </c>
      <c r="F458">
        <v>1.0900000000000001</v>
      </c>
      <c r="G458" s="2">
        <v>14623500</v>
      </c>
      <c r="H458">
        <v>0</v>
      </c>
      <c r="I458">
        <v>0</v>
      </c>
      <c r="J458">
        <v>0</v>
      </c>
      <c r="K458">
        <v>0</v>
      </c>
      <c r="L458" s="1">
        <v>0</v>
      </c>
      <c r="M458" s="1">
        <v>0</v>
      </c>
      <c r="N458" s="4">
        <f t="shared" si="43"/>
        <v>0</v>
      </c>
      <c r="O458" s="5">
        <f t="shared" si="44"/>
        <v>0</v>
      </c>
      <c r="P458" t="e">
        <f t="shared" si="45"/>
        <v>#DIV/0!</v>
      </c>
      <c r="Q458" s="6" t="e">
        <f t="shared" si="46"/>
        <v>#DIV/0!</v>
      </c>
      <c r="R458" s="6" t="e">
        <f t="shared" si="47"/>
        <v>#DIV/0!</v>
      </c>
      <c r="S458" t="str">
        <f t="shared" si="48"/>
        <v>Bom</v>
      </c>
    </row>
    <row r="459" spans="1:19" x14ac:dyDescent="0.3">
      <c r="A459" t="s">
        <v>481</v>
      </c>
      <c r="B459" t="s">
        <v>14</v>
      </c>
      <c r="C459" s="5">
        <f>VLOOKUP(A459,Dim!A:B,2,0)</f>
        <v>80.2</v>
      </c>
      <c r="D459" s="1">
        <v>9.3899999999999997E-2</v>
      </c>
      <c r="E459" s="1">
        <v>0.13100000000000001</v>
      </c>
      <c r="F459">
        <v>0.8</v>
      </c>
      <c r="G459" s="2">
        <v>332480000</v>
      </c>
      <c r="H459" s="2">
        <v>1160570</v>
      </c>
      <c r="I459">
        <v>4</v>
      </c>
      <c r="J459" s="3">
        <v>4947.3100000000004</v>
      </c>
      <c r="K459">
        <v>441.11</v>
      </c>
      <c r="L459" s="1">
        <v>8.9200000000000002E-2</v>
      </c>
      <c r="M459" s="1">
        <v>0.55789999999999995</v>
      </c>
      <c r="N459" s="4">
        <f t="shared" si="43"/>
        <v>1.0916666666666667E-2</v>
      </c>
      <c r="O459" s="5">
        <f t="shared" si="44"/>
        <v>0.87551666666666672</v>
      </c>
      <c r="P459">
        <f t="shared" si="45"/>
        <v>93</v>
      </c>
      <c r="Q459" s="6">
        <f t="shared" si="46"/>
        <v>7458.6</v>
      </c>
      <c r="R459" s="6">
        <f t="shared" si="47"/>
        <v>81.423050000000003</v>
      </c>
      <c r="S459" t="str">
        <f t="shared" si="48"/>
        <v>Alerta</v>
      </c>
    </row>
    <row r="460" spans="1:19" x14ac:dyDescent="0.3">
      <c r="A460" t="s">
        <v>482</v>
      </c>
      <c r="B460" t="s">
        <v>19</v>
      </c>
      <c r="C460" s="5">
        <f>VLOOKUP(A460,Dim!A:B,2,0)</f>
        <v>85.93</v>
      </c>
      <c r="D460" s="1">
        <v>0.1176</v>
      </c>
      <c r="E460" s="1">
        <v>0.1434</v>
      </c>
      <c r="F460">
        <v>0.78</v>
      </c>
      <c r="G460" s="2">
        <v>2011760000</v>
      </c>
      <c r="H460" s="2">
        <v>4388630</v>
      </c>
      <c r="I460">
        <v>5</v>
      </c>
      <c r="J460">
        <v>118.19</v>
      </c>
      <c r="K460">
        <v>6.43</v>
      </c>
      <c r="L460" s="1">
        <v>5.4399999999999997E-2</v>
      </c>
      <c r="M460" s="1">
        <v>0</v>
      </c>
      <c r="N460" s="4">
        <f t="shared" si="43"/>
        <v>1.1950000000000001E-2</v>
      </c>
      <c r="O460" s="5">
        <f t="shared" si="44"/>
        <v>1.0268635000000002</v>
      </c>
      <c r="P460">
        <f t="shared" si="45"/>
        <v>85</v>
      </c>
      <c r="Q460" s="6">
        <f t="shared" si="46"/>
        <v>7304.05</v>
      </c>
      <c r="R460" s="6">
        <f t="shared" si="47"/>
        <v>87.283397500000007</v>
      </c>
      <c r="S460" t="str">
        <f t="shared" si="48"/>
        <v>Alerta</v>
      </c>
    </row>
    <row r="461" spans="1:19" x14ac:dyDescent="0.3">
      <c r="A461" t="s">
        <v>387</v>
      </c>
      <c r="B461" t="s">
        <v>23</v>
      </c>
      <c r="C461" s="5">
        <f>VLOOKUP(A461,Dim!A:B,2,0)</f>
        <v>0</v>
      </c>
      <c r="D461" s="1">
        <v>9.5299999999999996E-2</v>
      </c>
      <c r="E461" s="1">
        <v>0</v>
      </c>
      <c r="F461">
        <v>0.87</v>
      </c>
      <c r="G461" s="2">
        <v>11706000</v>
      </c>
      <c r="H461">
        <v>0</v>
      </c>
      <c r="I461">
        <v>0</v>
      </c>
      <c r="J461">
        <v>0</v>
      </c>
      <c r="K461">
        <v>0</v>
      </c>
      <c r="L461" s="1">
        <v>0</v>
      </c>
      <c r="M461" s="1">
        <v>0</v>
      </c>
      <c r="N461" s="4">
        <f t="shared" si="43"/>
        <v>0</v>
      </c>
      <c r="O461" s="5">
        <f t="shared" si="44"/>
        <v>0</v>
      </c>
      <c r="P461" t="e">
        <f t="shared" si="45"/>
        <v>#DIV/0!</v>
      </c>
      <c r="Q461" s="6" t="e">
        <f t="shared" si="46"/>
        <v>#DIV/0!</v>
      </c>
      <c r="R461" s="6" t="e">
        <f t="shared" si="47"/>
        <v>#DIV/0!</v>
      </c>
      <c r="S461" t="str">
        <f t="shared" si="48"/>
        <v>Bom</v>
      </c>
    </row>
    <row r="462" spans="1:19" x14ac:dyDescent="0.3">
      <c r="A462" t="s">
        <v>484</v>
      </c>
      <c r="B462" t="s">
        <v>106</v>
      </c>
      <c r="C462" s="5">
        <f>VLOOKUP(A462,Dim!A:B,2,0)</f>
        <v>249.33</v>
      </c>
      <c r="D462" s="1">
        <v>8.43E-2</v>
      </c>
      <c r="E462" s="1">
        <v>0.14680000000000001</v>
      </c>
      <c r="F462">
        <v>0.95</v>
      </c>
      <c r="G462" s="2">
        <v>289997000</v>
      </c>
      <c r="H462" s="2">
        <v>55301</v>
      </c>
      <c r="I462">
        <v>10</v>
      </c>
      <c r="J462" s="3">
        <v>7596.4</v>
      </c>
      <c r="K462">
        <v>751.17</v>
      </c>
      <c r="L462" s="1">
        <v>9.8900000000000002E-2</v>
      </c>
      <c r="M462" s="1">
        <v>0</v>
      </c>
      <c r="N462" s="4">
        <f t="shared" si="43"/>
        <v>1.2233333333333334E-2</v>
      </c>
      <c r="O462" s="5">
        <f t="shared" si="44"/>
        <v>3.0501370000000003</v>
      </c>
      <c r="P462">
        <f t="shared" si="45"/>
        <v>83</v>
      </c>
      <c r="Q462" s="6">
        <f t="shared" si="46"/>
        <v>20694.39</v>
      </c>
      <c r="R462" s="6">
        <f t="shared" si="47"/>
        <v>253.16137100000003</v>
      </c>
      <c r="S462" t="str">
        <f t="shared" si="48"/>
        <v>Alerta</v>
      </c>
    </row>
    <row r="463" spans="1:19" x14ac:dyDescent="0.3">
      <c r="A463" t="s">
        <v>485</v>
      </c>
      <c r="B463" t="s">
        <v>14</v>
      </c>
      <c r="C463" s="5">
        <f>VLOOKUP(A463,Dim!A:B,2,0)</f>
        <v>80.599999999999994</v>
      </c>
      <c r="D463" s="1">
        <v>0.13339999999999999</v>
      </c>
      <c r="E463" s="1">
        <v>0.1469</v>
      </c>
      <c r="F463">
        <v>0.84</v>
      </c>
      <c r="G463" s="2">
        <v>77348300</v>
      </c>
      <c r="H463" s="2">
        <v>241408</v>
      </c>
      <c r="I463">
        <v>0</v>
      </c>
      <c r="J463">
        <v>0</v>
      </c>
      <c r="K463">
        <v>0</v>
      </c>
      <c r="L463" s="1">
        <v>0</v>
      </c>
      <c r="M463" s="1">
        <v>0</v>
      </c>
      <c r="N463" s="4">
        <f t="shared" si="43"/>
        <v>1.2241666666666666E-2</v>
      </c>
      <c r="O463" s="5">
        <f t="shared" si="44"/>
        <v>0.98667833333333321</v>
      </c>
      <c r="P463">
        <f t="shared" si="45"/>
        <v>83</v>
      </c>
      <c r="Q463" s="6">
        <f t="shared" si="46"/>
        <v>6689.7999999999993</v>
      </c>
      <c r="R463" s="6">
        <f t="shared" si="47"/>
        <v>81.894301666666664</v>
      </c>
      <c r="S463" t="str">
        <f t="shared" si="48"/>
        <v>Alerta</v>
      </c>
    </row>
    <row r="464" spans="1:19" x14ac:dyDescent="0.3">
      <c r="A464" t="s">
        <v>486</v>
      </c>
      <c r="B464" t="s">
        <v>14</v>
      </c>
      <c r="C464" s="5">
        <f>VLOOKUP(A464,Dim!A:B,2,0)</f>
        <v>69.790000000000006</v>
      </c>
      <c r="D464" s="1">
        <v>0.111</v>
      </c>
      <c r="E464" s="1">
        <v>0.1452</v>
      </c>
      <c r="F464">
        <v>0.63</v>
      </c>
      <c r="G464" s="2">
        <v>305701000</v>
      </c>
      <c r="H464" s="2">
        <v>792008</v>
      </c>
      <c r="I464">
        <v>2</v>
      </c>
      <c r="J464" s="3">
        <v>33676.800000000003</v>
      </c>
      <c r="K464" s="3">
        <v>2146.35</v>
      </c>
      <c r="L464" s="1">
        <v>6.3700000000000007E-2</v>
      </c>
      <c r="M464" s="1">
        <v>8.5999999999999993E-2</v>
      </c>
      <c r="N464" s="4">
        <f t="shared" si="43"/>
        <v>1.21E-2</v>
      </c>
      <c r="O464" s="5">
        <f t="shared" si="44"/>
        <v>0.84445900000000007</v>
      </c>
      <c r="P464">
        <f t="shared" si="45"/>
        <v>84</v>
      </c>
      <c r="Q464" s="6">
        <f t="shared" si="46"/>
        <v>5862.3600000000006</v>
      </c>
      <c r="R464" s="6">
        <f t="shared" si="47"/>
        <v>70.934556000000001</v>
      </c>
      <c r="S464" t="str">
        <f t="shared" si="48"/>
        <v>Alerta</v>
      </c>
    </row>
    <row r="465" spans="1:19" x14ac:dyDescent="0.3">
      <c r="A465" t="s">
        <v>388</v>
      </c>
      <c r="B465" t="s">
        <v>23</v>
      </c>
      <c r="C465" s="5">
        <f>VLOOKUP(A465,Dim!A:B,2,0)</f>
        <v>0</v>
      </c>
      <c r="D465" s="1">
        <v>7.5499999999999998E-2</v>
      </c>
      <c r="E465" s="1">
        <v>0</v>
      </c>
      <c r="F465">
        <v>1.1000000000000001</v>
      </c>
      <c r="G465" s="2">
        <v>14778000</v>
      </c>
      <c r="H465">
        <v>0</v>
      </c>
      <c r="I465">
        <v>0</v>
      </c>
      <c r="J465">
        <v>0</v>
      </c>
      <c r="K465">
        <v>0</v>
      </c>
      <c r="L465" s="1">
        <v>0</v>
      </c>
      <c r="M465" s="1">
        <v>0</v>
      </c>
      <c r="N465" s="4">
        <f t="shared" si="43"/>
        <v>0</v>
      </c>
      <c r="O465" s="5">
        <f t="shared" si="44"/>
        <v>0</v>
      </c>
      <c r="P465" t="e">
        <f t="shared" si="45"/>
        <v>#DIV/0!</v>
      </c>
      <c r="Q465" s="6" t="e">
        <f t="shared" si="46"/>
        <v>#DIV/0!</v>
      </c>
      <c r="R465" s="6" t="e">
        <f t="shared" si="47"/>
        <v>#DIV/0!</v>
      </c>
      <c r="S465" t="str">
        <f t="shared" si="48"/>
        <v>Bom</v>
      </c>
    </row>
    <row r="466" spans="1:19" x14ac:dyDescent="0.3">
      <c r="A466" t="s">
        <v>389</v>
      </c>
      <c r="B466" t="s">
        <v>23</v>
      </c>
      <c r="C466" s="5">
        <f>VLOOKUP(A466,Dim!A:B,2,0)</f>
        <v>0</v>
      </c>
      <c r="D466" s="1">
        <v>6.5100000000000005E-2</v>
      </c>
      <c r="E466" s="1">
        <v>0</v>
      </c>
      <c r="F466">
        <v>0.99</v>
      </c>
      <c r="G466" s="2">
        <v>125416000</v>
      </c>
      <c r="H466">
        <v>0</v>
      </c>
      <c r="I466">
        <v>0</v>
      </c>
      <c r="J466">
        <v>0</v>
      </c>
      <c r="K466">
        <v>0</v>
      </c>
      <c r="L466" s="1">
        <v>0</v>
      </c>
      <c r="M466" s="1">
        <v>0</v>
      </c>
      <c r="N466" s="4">
        <f t="shared" si="43"/>
        <v>0</v>
      </c>
      <c r="O466" s="5">
        <f t="shared" si="44"/>
        <v>0</v>
      </c>
      <c r="P466" t="e">
        <f t="shared" si="45"/>
        <v>#DIV/0!</v>
      </c>
      <c r="Q466" s="6" t="e">
        <f t="shared" si="46"/>
        <v>#DIV/0!</v>
      </c>
      <c r="R466" s="6" t="e">
        <f t="shared" si="47"/>
        <v>#DIV/0!</v>
      </c>
      <c r="S466" t="str">
        <f t="shared" si="48"/>
        <v>Bom</v>
      </c>
    </row>
    <row r="467" spans="1:19" x14ac:dyDescent="0.3">
      <c r="A467" t="s">
        <v>489</v>
      </c>
      <c r="B467" t="s">
        <v>47</v>
      </c>
      <c r="C467" s="5">
        <f>VLOOKUP(A467,Dim!A:B,2,0)</f>
        <v>63.04</v>
      </c>
      <c r="D467" s="1">
        <v>7.5200000000000003E-2</v>
      </c>
      <c r="E467" s="1">
        <v>0.1106</v>
      </c>
      <c r="F467">
        <v>0.75</v>
      </c>
      <c r="G467" s="2">
        <v>498630000</v>
      </c>
      <c r="H467" s="2">
        <v>973735</v>
      </c>
      <c r="I467">
        <v>6</v>
      </c>
      <c r="J467" s="3">
        <v>1444.21</v>
      </c>
      <c r="K467">
        <v>160.88999999999999</v>
      </c>
      <c r="L467" s="1">
        <v>0.1114</v>
      </c>
      <c r="M467" s="1">
        <v>2.52E-2</v>
      </c>
      <c r="N467" s="4">
        <f t="shared" si="43"/>
        <v>9.2166666666666664E-3</v>
      </c>
      <c r="O467" s="5">
        <f t="shared" si="44"/>
        <v>0.58101866666666668</v>
      </c>
      <c r="P467">
        <f t="shared" si="45"/>
        <v>110</v>
      </c>
      <c r="Q467" s="6">
        <f t="shared" si="46"/>
        <v>6934.4</v>
      </c>
      <c r="R467" s="6">
        <f t="shared" si="47"/>
        <v>63.912053333333333</v>
      </c>
      <c r="S467" t="str">
        <f t="shared" si="48"/>
        <v>Alerta</v>
      </c>
    </row>
    <row r="468" spans="1:19" x14ac:dyDescent="0.3">
      <c r="A468" t="s">
        <v>490</v>
      </c>
      <c r="B468" t="s">
        <v>28</v>
      </c>
      <c r="C468" s="5">
        <f>VLOOKUP(A468,Dim!A:B,2,0)</f>
        <v>95</v>
      </c>
      <c r="D468" s="1">
        <v>6.7000000000000004E-2</v>
      </c>
      <c r="E468" s="1">
        <v>0</v>
      </c>
      <c r="F468">
        <v>0.53</v>
      </c>
      <c r="G468" s="2">
        <v>373878000</v>
      </c>
      <c r="H468" s="2">
        <v>15954</v>
      </c>
      <c r="I468">
        <v>1</v>
      </c>
      <c r="J468" s="3">
        <v>6088.18</v>
      </c>
      <c r="K468">
        <v>621.64</v>
      </c>
      <c r="L468" s="1">
        <v>0.1021</v>
      </c>
      <c r="M468" s="1">
        <v>0.29299999999999998</v>
      </c>
      <c r="N468" s="4">
        <f t="shared" si="43"/>
        <v>0</v>
      </c>
      <c r="O468" s="5">
        <f t="shared" si="44"/>
        <v>0</v>
      </c>
      <c r="P468" t="e">
        <f t="shared" si="45"/>
        <v>#DIV/0!</v>
      </c>
      <c r="Q468" s="6" t="e">
        <f t="shared" si="46"/>
        <v>#DIV/0!</v>
      </c>
      <c r="R468" s="6" t="e">
        <f t="shared" si="47"/>
        <v>#DIV/0!</v>
      </c>
      <c r="S468" t="str">
        <f t="shared" si="48"/>
        <v>Bom</v>
      </c>
    </row>
    <row r="469" spans="1:19" x14ac:dyDescent="0.3">
      <c r="A469" t="s">
        <v>491</v>
      </c>
      <c r="B469" t="s">
        <v>19</v>
      </c>
      <c r="C469" s="5">
        <f>VLOOKUP(A469,Dim!A:B,2,0)</f>
        <v>157.26</v>
      </c>
      <c r="D469" s="1">
        <v>5.2699999999999997E-2</v>
      </c>
      <c r="E469" s="1">
        <v>0.15390000000000001</v>
      </c>
      <c r="F469">
        <v>1.59</v>
      </c>
      <c r="G469" s="2">
        <v>606818000</v>
      </c>
      <c r="H469" s="2">
        <v>5035160</v>
      </c>
      <c r="I469">
        <v>13</v>
      </c>
      <c r="J469" s="3">
        <v>2144.04</v>
      </c>
      <c r="K469">
        <v>222.96</v>
      </c>
      <c r="L469" s="1">
        <v>0.104</v>
      </c>
      <c r="M469" s="1">
        <v>0</v>
      </c>
      <c r="N469" s="4">
        <f t="shared" si="43"/>
        <v>1.2825000000000001E-2</v>
      </c>
      <c r="O469" s="5">
        <f t="shared" si="44"/>
        <v>2.0168595000000002</v>
      </c>
      <c r="P469">
        <f t="shared" si="45"/>
        <v>79</v>
      </c>
      <c r="Q469" s="6">
        <f t="shared" si="46"/>
        <v>12423.539999999999</v>
      </c>
      <c r="R469" s="6">
        <f t="shared" si="47"/>
        <v>159.33190050000002</v>
      </c>
      <c r="S469" t="str">
        <f t="shared" si="48"/>
        <v>Alerta</v>
      </c>
    </row>
    <row r="470" spans="1:19" x14ac:dyDescent="0.3">
      <c r="A470" t="s">
        <v>492</v>
      </c>
      <c r="B470" t="s">
        <v>19</v>
      </c>
      <c r="C470" s="5">
        <f>VLOOKUP(A470,Dim!A:B,2,0)</f>
        <v>101.19</v>
      </c>
      <c r="D470" s="1">
        <v>6.9099999999999995E-2</v>
      </c>
      <c r="E470" s="1">
        <v>0.1298</v>
      </c>
      <c r="F470">
        <v>0.99</v>
      </c>
      <c r="G470" s="2">
        <v>3276950000</v>
      </c>
      <c r="H470" s="2">
        <v>11805200</v>
      </c>
      <c r="I470">
        <v>52</v>
      </c>
      <c r="J470" s="3">
        <v>3343.73</v>
      </c>
      <c r="K470">
        <v>188.28</v>
      </c>
      <c r="L470" s="1">
        <v>5.6300000000000003E-2</v>
      </c>
      <c r="M470" s="1">
        <v>0</v>
      </c>
      <c r="N470" s="4">
        <f t="shared" si="43"/>
        <v>1.0816666666666667E-2</v>
      </c>
      <c r="O470" s="5">
        <f t="shared" si="44"/>
        <v>1.0945385000000001</v>
      </c>
      <c r="P470">
        <f t="shared" si="45"/>
        <v>94</v>
      </c>
      <c r="Q470" s="6">
        <f t="shared" si="46"/>
        <v>9511.86</v>
      </c>
      <c r="R470" s="6">
        <f t="shared" si="47"/>
        <v>102.88661900000001</v>
      </c>
      <c r="S470" t="str">
        <f t="shared" si="48"/>
        <v>Alerta</v>
      </c>
    </row>
    <row r="471" spans="1:19" x14ac:dyDescent="0.3">
      <c r="A471" t="s">
        <v>390</v>
      </c>
      <c r="B471" t="s">
        <v>28</v>
      </c>
      <c r="C471" s="5">
        <f>VLOOKUP(A471,Dim!A:B,2,0)</f>
        <v>0</v>
      </c>
      <c r="D471" s="1">
        <v>0.12330000000000001</v>
      </c>
      <c r="E471" s="1">
        <v>8.3900000000000002E-2</v>
      </c>
      <c r="F471">
        <v>0.49</v>
      </c>
      <c r="G471" s="2">
        <v>166276000</v>
      </c>
      <c r="H471" s="2">
        <v>144616</v>
      </c>
      <c r="I471">
        <v>4</v>
      </c>
      <c r="J471" s="3">
        <v>3812.31</v>
      </c>
      <c r="K471">
        <v>614.84</v>
      </c>
      <c r="L471" s="1">
        <v>0.1613</v>
      </c>
      <c r="M471" s="1">
        <v>0</v>
      </c>
      <c r="N471" s="4">
        <f t="shared" si="43"/>
        <v>6.9916666666666669E-3</v>
      </c>
      <c r="O471" s="5">
        <f t="shared" si="44"/>
        <v>0</v>
      </c>
      <c r="P471" t="e">
        <f t="shared" si="45"/>
        <v>#DIV/0!</v>
      </c>
      <c r="Q471" s="6" t="e">
        <f t="shared" si="46"/>
        <v>#DIV/0!</v>
      </c>
      <c r="R471" s="6" t="e">
        <f t="shared" si="47"/>
        <v>#DIV/0!</v>
      </c>
      <c r="S471" t="str">
        <f t="shared" si="48"/>
        <v>Bom</v>
      </c>
    </row>
    <row r="472" spans="1:19" x14ac:dyDescent="0.3">
      <c r="A472" t="s">
        <v>392</v>
      </c>
      <c r="B472" t="s">
        <v>14</v>
      </c>
      <c r="C472" s="5">
        <f>VLOOKUP(A472,Dim!A:B,2,0)</f>
        <v>0</v>
      </c>
      <c r="D472" s="1">
        <v>0.15890000000000001</v>
      </c>
      <c r="E472" s="1">
        <v>0.1143</v>
      </c>
      <c r="F472">
        <v>0</v>
      </c>
      <c r="G472" s="2">
        <v>221443000</v>
      </c>
      <c r="H472">
        <v>0</v>
      </c>
      <c r="I472">
        <v>0</v>
      </c>
      <c r="J472">
        <v>0</v>
      </c>
      <c r="K472">
        <v>0</v>
      </c>
      <c r="L472" s="1">
        <v>0</v>
      </c>
      <c r="M472" s="1">
        <v>0</v>
      </c>
      <c r="N472" s="4">
        <f t="shared" si="43"/>
        <v>9.5250000000000005E-3</v>
      </c>
      <c r="O472" s="5">
        <f t="shared" si="44"/>
        <v>0</v>
      </c>
      <c r="P472" t="e">
        <f t="shared" si="45"/>
        <v>#DIV/0!</v>
      </c>
      <c r="Q472" s="6" t="e">
        <f t="shared" si="46"/>
        <v>#DIV/0!</v>
      </c>
      <c r="R472" s="6" t="e">
        <f t="shared" si="47"/>
        <v>#DIV/0!</v>
      </c>
      <c r="S472" t="str">
        <f t="shared" si="48"/>
        <v>Bom</v>
      </c>
    </row>
    <row r="473" spans="1:19" x14ac:dyDescent="0.3">
      <c r="A473" t="s">
        <v>495</v>
      </c>
      <c r="B473" t="s">
        <v>28</v>
      </c>
      <c r="C473" s="5">
        <f>VLOOKUP(A473,Dim!A:B,2,0)</f>
        <v>97</v>
      </c>
      <c r="D473" s="1">
        <v>0.1119</v>
      </c>
      <c r="E473" s="1">
        <v>0.13159999999999999</v>
      </c>
      <c r="F473">
        <v>1</v>
      </c>
      <c r="G473" s="2">
        <v>144094000</v>
      </c>
      <c r="H473">
        <v>0</v>
      </c>
      <c r="I473">
        <v>1</v>
      </c>
      <c r="J473" s="3">
        <v>2766.46</v>
      </c>
      <c r="K473">
        <v>253.61</v>
      </c>
      <c r="L473" s="1">
        <v>9.1700000000000004E-2</v>
      </c>
      <c r="M473" s="1">
        <v>0</v>
      </c>
      <c r="N473" s="4">
        <f t="shared" si="43"/>
        <v>1.0966666666666666E-2</v>
      </c>
      <c r="O473" s="5">
        <f t="shared" si="44"/>
        <v>1.0637666666666665</v>
      </c>
      <c r="P473">
        <f t="shared" si="45"/>
        <v>93</v>
      </c>
      <c r="Q473" s="6">
        <f t="shared" si="46"/>
        <v>9021</v>
      </c>
      <c r="R473" s="6">
        <f t="shared" si="47"/>
        <v>98.930299999999988</v>
      </c>
      <c r="S473" t="str">
        <f t="shared" si="48"/>
        <v>Alerta</v>
      </c>
    </row>
    <row r="474" spans="1:19" x14ac:dyDescent="0.3">
      <c r="A474" t="s">
        <v>496</v>
      </c>
      <c r="B474" t="s">
        <v>14</v>
      </c>
      <c r="C474" s="5">
        <f>VLOOKUP(A474,Dim!A:B,2,0)</f>
        <v>82.72</v>
      </c>
      <c r="D474" s="1">
        <v>3.9600000000000003E-2</v>
      </c>
      <c r="E474" s="1">
        <v>0</v>
      </c>
      <c r="F474">
        <v>1.04</v>
      </c>
      <c r="G474" s="2">
        <v>89898400</v>
      </c>
      <c r="H474">
        <v>0</v>
      </c>
      <c r="I474">
        <v>1</v>
      </c>
      <c r="J474" s="3">
        <v>7217.74</v>
      </c>
      <c r="K474">
        <v>0</v>
      </c>
      <c r="L474" s="1">
        <v>0</v>
      </c>
      <c r="M474" s="1">
        <v>1</v>
      </c>
      <c r="N474" s="4">
        <f t="shared" si="43"/>
        <v>0</v>
      </c>
      <c r="O474" s="5">
        <f t="shared" si="44"/>
        <v>0</v>
      </c>
      <c r="P474" t="e">
        <f t="shared" si="45"/>
        <v>#DIV/0!</v>
      </c>
      <c r="Q474" s="6" t="e">
        <f t="shared" si="46"/>
        <v>#DIV/0!</v>
      </c>
      <c r="R474" s="6" t="e">
        <f t="shared" si="47"/>
        <v>#DIV/0!</v>
      </c>
      <c r="S474" t="str">
        <f t="shared" si="48"/>
        <v>Bom</v>
      </c>
    </row>
    <row r="475" spans="1:19" x14ac:dyDescent="0.3">
      <c r="A475" t="s">
        <v>497</v>
      </c>
      <c r="B475" t="s">
        <v>28</v>
      </c>
      <c r="C475" s="5">
        <f>VLOOKUP(A475,Dim!A:B,2,0)</f>
        <v>94.07</v>
      </c>
      <c r="D475" s="1">
        <v>0.10150000000000001</v>
      </c>
      <c r="E475" s="1">
        <v>0.1295</v>
      </c>
      <c r="F475">
        <v>0.9</v>
      </c>
      <c r="G475" s="2">
        <v>1489760000</v>
      </c>
      <c r="H475" s="2">
        <v>889806</v>
      </c>
      <c r="I475">
        <v>59</v>
      </c>
      <c r="J475" s="3">
        <v>3581.32</v>
      </c>
      <c r="K475">
        <v>500.19</v>
      </c>
      <c r="L475" s="1">
        <v>0.13969999999999999</v>
      </c>
      <c r="M475" s="1">
        <v>2.81E-2</v>
      </c>
      <c r="N475" s="4">
        <f t="shared" si="43"/>
        <v>1.0791666666666666E-2</v>
      </c>
      <c r="O475" s="5">
        <f t="shared" si="44"/>
        <v>1.0151720833333333</v>
      </c>
      <c r="P475">
        <f t="shared" si="45"/>
        <v>94</v>
      </c>
      <c r="Q475" s="6">
        <f t="shared" si="46"/>
        <v>8842.58</v>
      </c>
      <c r="R475" s="6">
        <f t="shared" si="47"/>
        <v>95.426175833333332</v>
      </c>
      <c r="S475" t="str">
        <f t="shared" si="48"/>
        <v>Alerta</v>
      </c>
    </row>
    <row r="476" spans="1:19" x14ac:dyDescent="0.3">
      <c r="A476" t="s">
        <v>394</v>
      </c>
      <c r="B476" t="s">
        <v>16</v>
      </c>
      <c r="C476" s="5">
        <f>VLOOKUP(A476,Dim!A:B,2,0)</f>
        <v>0</v>
      </c>
      <c r="D476" s="1">
        <v>3.3000000000000002E-2</v>
      </c>
      <c r="E476" s="1">
        <v>0</v>
      </c>
      <c r="F476">
        <v>0.31</v>
      </c>
      <c r="G476" s="2">
        <v>30669100</v>
      </c>
      <c r="H476">
        <v>0</v>
      </c>
      <c r="I476">
        <v>1</v>
      </c>
      <c r="J476" s="3">
        <v>1051.57</v>
      </c>
      <c r="K476">
        <v>52.68</v>
      </c>
      <c r="L476" s="1">
        <v>5.0099999999999999E-2</v>
      </c>
      <c r="M476" s="1">
        <v>0.11940000000000001</v>
      </c>
      <c r="N476" s="4">
        <f t="shared" si="43"/>
        <v>0</v>
      </c>
      <c r="O476" s="5">
        <f t="shared" si="44"/>
        <v>0</v>
      </c>
      <c r="P476" t="e">
        <f t="shared" si="45"/>
        <v>#DIV/0!</v>
      </c>
      <c r="Q476" s="6" t="e">
        <f t="shared" si="46"/>
        <v>#DIV/0!</v>
      </c>
      <c r="R476" s="6" t="e">
        <f t="shared" si="47"/>
        <v>#DIV/0!</v>
      </c>
      <c r="S476" t="str">
        <f t="shared" si="48"/>
        <v>Bom</v>
      </c>
    </row>
    <row r="477" spans="1:19" x14ac:dyDescent="0.3">
      <c r="A477" t="s">
        <v>499</v>
      </c>
      <c r="B477" t="s">
        <v>19</v>
      </c>
      <c r="C477" s="5">
        <f>VLOOKUP(A477,Dim!A:B,2,0)</f>
        <v>75.98</v>
      </c>
      <c r="D477" s="1">
        <v>0.2853</v>
      </c>
      <c r="E477" s="1">
        <v>0.20469999999999999</v>
      </c>
      <c r="F477">
        <v>0.76</v>
      </c>
      <c r="G477" s="2">
        <v>8059340</v>
      </c>
      <c r="H477" s="2">
        <v>6025</v>
      </c>
      <c r="I477">
        <v>0</v>
      </c>
      <c r="J477">
        <v>0</v>
      </c>
      <c r="K477">
        <v>0</v>
      </c>
      <c r="L477" s="1">
        <v>0</v>
      </c>
      <c r="M477" s="1">
        <v>0</v>
      </c>
      <c r="N477" s="4">
        <f t="shared" si="43"/>
        <v>1.7058333333333332E-2</v>
      </c>
      <c r="O477" s="5">
        <f t="shared" si="44"/>
        <v>1.2960921666666667</v>
      </c>
      <c r="P477">
        <f t="shared" si="45"/>
        <v>60</v>
      </c>
      <c r="Q477" s="6">
        <f t="shared" si="46"/>
        <v>4558.8</v>
      </c>
      <c r="R477" s="6">
        <f t="shared" si="47"/>
        <v>77.765529999999998</v>
      </c>
      <c r="S477" t="str">
        <f t="shared" si="48"/>
        <v>Bom</v>
      </c>
    </row>
    <row r="478" spans="1:19" x14ac:dyDescent="0.3">
      <c r="A478" t="s">
        <v>500</v>
      </c>
      <c r="B478" t="s">
        <v>14</v>
      </c>
      <c r="C478" s="5">
        <f>VLOOKUP(A478,Dim!A:B,2,0)</f>
        <v>33.700000000000003</v>
      </c>
      <c r="D478" s="1">
        <v>0.16589999999999999</v>
      </c>
      <c r="E478" s="1">
        <v>0.22570000000000001</v>
      </c>
      <c r="F478">
        <v>0.34</v>
      </c>
      <c r="G478" s="2">
        <v>402473000</v>
      </c>
      <c r="H478" s="2">
        <v>987595</v>
      </c>
      <c r="I478">
        <v>0</v>
      </c>
      <c r="J478">
        <v>0</v>
      </c>
      <c r="K478">
        <v>0</v>
      </c>
      <c r="L478" s="1">
        <v>0</v>
      </c>
      <c r="M478" s="1">
        <v>0</v>
      </c>
      <c r="N478" s="4">
        <f t="shared" si="43"/>
        <v>1.8808333333333333E-2</v>
      </c>
      <c r="O478" s="5">
        <f t="shared" si="44"/>
        <v>0.63384083333333341</v>
      </c>
      <c r="P478">
        <f t="shared" si="45"/>
        <v>55</v>
      </c>
      <c r="Q478" s="6">
        <f t="shared" si="46"/>
        <v>1853.5000000000002</v>
      </c>
      <c r="R478" s="6">
        <f t="shared" si="47"/>
        <v>34.861245833333335</v>
      </c>
      <c r="S478" t="str">
        <f t="shared" si="48"/>
        <v>Alerta</v>
      </c>
    </row>
    <row r="479" spans="1:19" x14ac:dyDescent="0.3">
      <c r="A479" t="s">
        <v>501</v>
      </c>
      <c r="B479" t="s">
        <v>14</v>
      </c>
      <c r="C479" s="5">
        <f>VLOOKUP(A479,Dim!A:B,2,0)</f>
        <v>77.31</v>
      </c>
      <c r="D479" s="1">
        <v>0.1479</v>
      </c>
      <c r="E479" s="1">
        <v>0.1497</v>
      </c>
      <c r="F479">
        <v>0.83</v>
      </c>
      <c r="G479" s="2">
        <v>1136400000</v>
      </c>
      <c r="H479" s="2">
        <v>2374160</v>
      </c>
      <c r="I479">
        <v>0</v>
      </c>
      <c r="J479">
        <v>0</v>
      </c>
      <c r="K479">
        <v>0</v>
      </c>
      <c r="L479" s="1">
        <v>0</v>
      </c>
      <c r="M479" s="1">
        <v>0</v>
      </c>
      <c r="N479" s="4">
        <f t="shared" si="43"/>
        <v>1.2475E-2</v>
      </c>
      <c r="O479" s="5">
        <f t="shared" si="44"/>
        <v>0.96444225000000006</v>
      </c>
      <c r="P479">
        <f t="shared" si="45"/>
        <v>82</v>
      </c>
      <c r="Q479" s="6">
        <f t="shared" si="46"/>
        <v>6339.42</v>
      </c>
      <c r="R479" s="6">
        <f t="shared" si="47"/>
        <v>79.084264500000003</v>
      </c>
      <c r="S479" t="str">
        <f t="shared" si="48"/>
        <v>Alerta</v>
      </c>
    </row>
    <row r="480" spans="1:19" x14ac:dyDescent="0.3">
      <c r="A480" t="s">
        <v>502</v>
      </c>
      <c r="B480" t="s">
        <v>23</v>
      </c>
      <c r="C480" s="5">
        <f>VLOOKUP(A480,Dim!A:B,2,0)</f>
        <v>60.54</v>
      </c>
      <c r="D480" s="1">
        <v>0.21709999999999999</v>
      </c>
      <c r="E480" s="1">
        <v>0.1268</v>
      </c>
      <c r="F480">
        <v>0.59</v>
      </c>
      <c r="G480" s="2">
        <v>278391000</v>
      </c>
      <c r="H480" s="2">
        <v>485330</v>
      </c>
      <c r="I480">
        <v>0</v>
      </c>
      <c r="J480">
        <v>0</v>
      </c>
      <c r="K480">
        <v>0</v>
      </c>
      <c r="L480" s="1">
        <v>0</v>
      </c>
      <c r="M480" s="1">
        <v>0</v>
      </c>
      <c r="N480" s="4">
        <f t="shared" si="43"/>
        <v>1.0566666666666667E-2</v>
      </c>
      <c r="O480" s="5">
        <f t="shared" si="44"/>
        <v>0.639706</v>
      </c>
      <c r="P480">
        <f t="shared" si="45"/>
        <v>96</v>
      </c>
      <c r="Q480" s="6">
        <f t="shared" si="46"/>
        <v>5811.84</v>
      </c>
      <c r="R480" s="6">
        <f t="shared" si="47"/>
        <v>61.411776000000003</v>
      </c>
      <c r="S480" t="str">
        <f t="shared" si="48"/>
        <v>Bom</v>
      </c>
    </row>
    <row r="481" spans="1:19" x14ac:dyDescent="0.3">
      <c r="A481" t="s">
        <v>398</v>
      </c>
      <c r="B481" t="s">
        <v>14</v>
      </c>
      <c r="C481" s="5">
        <f>VLOOKUP(A481,Dim!A:B,2,0)</f>
        <v>0</v>
      </c>
      <c r="D481" s="1">
        <v>9.9199999999999997E-2</v>
      </c>
      <c r="E481" s="1">
        <v>0</v>
      </c>
      <c r="F481">
        <v>0.97</v>
      </c>
      <c r="G481" s="2">
        <v>181458000</v>
      </c>
      <c r="H481">
        <v>0</v>
      </c>
      <c r="I481">
        <v>0</v>
      </c>
      <c r="J481">
        <v>0</v>
      </c>
      <c r="K481">
        <v>0</v>
      </c>
      <c r="L481" s="1">
        <v>0</v>
      </c>
      <c r="M481" s="1">
        <v>0</v>
      </c>
      <c r="N481" s="4">
        <f t="shared" si="43"/>
        <v>0</v>
      </c>
      <c r="O481" s="5">
        <f t="shared" si="44"/>
        <v>0</v>
      </c>
      <c r="P481" t="e">
        <f t="shared" si="45"/>
        <v>#DIV/0!</v>
      </c>
      <c r="Q481" s="6" t="e">
        <f t="shared" si="46"/>
        <v>#DIV/0!</v>
      </c>
      <c r="R481" s="6" t="e">
        <f t="shared" si="47"/>
        <v>#DIV/0!</v>
      </c>
      <c r="S481" t="str">
        <f t="shared" si="48"/>
        <v>Bom</v>
      </c>
    </row>
    <row r="482" spans="1:19" x14ac:dyDescent="0.3">
      <c r="A482" t="s">
        <v>504</v>
      </c>
      <c r="B482" t="s">
        <v>47</v>
      </c>
      <c r="C482" s="5">
        <f>VLOOKUP(A482,Dim!A:B,2,0)</f>
        <v>67.87</v>
      </c>
      <c r="D482" s="1">
        <v>9.69E-2</v>
      </c>
      <c r="E482" s="1">
        <v>9.7299999999999998E-2</v>
      </c>
      <c r="F482">
        <v>0.51</v>
      </c>
      <c r="G482" s="2">
        <v>128300000</v>
      </c>
      <c r="H482" s="2">
        <v>320820</v>
      </c>
      <c r="I482">
        <v>4</v>
      </c>
      <c r="J482" s="3">
        <v>2284.63</v>
      </c>
      <c r="K482">
        <v>553.29</v>
      </c>
      <c r="L482" s="1">
        <v>0.2422</v>
      </c>
      <c r="M482" s="1">
        <v>0</v>
      </c>
      <c r="N482" s="4">
        <f t="shared" si="43"/>
        <v>8.1083333333333337E-3</v>
      </c>
      <c r="O482" s="5">
        <f t="shared" si="44"/>
        <v>0.55031258333333344</v>
      </c>
      <c r="P482">
        <f t="shared" si="45"/>
        <v>125</v>
      </c>
      <c r="Q482" s="6">
        <f t="shared" si="46"/>
        <v>8483.75</v>
      </c>
      <c r="R482" s="6">
        <f t="shared" si="47"/>
        <v>68.789072916666683</v>
      </c>
      <c r="S482" t="str">
        <f t="shared" si="48"/>
        <v>Alerta</v>
      </c>
    </row>
    <row r="483" spans="1:19" x14ac:dyDescent="0.3">
      <c r="A483" t="s">
        <v>505</v>
      </c>
      <c r="B483" t="s">
        <v>19</v>
      </c>
      <c r="C483" s="5">
        <f>VLOOKUP(A483,Dim!A:B,2,0)</f>
        <v>445.76</v>
      </c>
      <c r="D483" s="1">
        <v>7.1300000000000002E-2</v>
      </c>
      <c r="E483" s="1">
        <v>7.3200000000000001E-2</v>
      </c>
      <c r="F483">
        <v>0.9</v>
      </c>
      <c r="G483" s="2">
        <v>284910000</v>
      </c>
      <c r="H483">
        <v>0</v>
      </c>
      <c r="I483">
        <v>3</v>
      </c>
      <c r="J483" s="3">
        <v>2832.67</v>
      </c>
      <c r="K483">
        <v>341.37</v>
      </c>
      <c r="L483" s="1">
        <v>0.1205</v>
      </c>
      <c r="M483" s="1">
        <v>0.28370000000000001</v>
      </c>
      <c r="N483" s="4">
        <f t="shared" si="43"/>
        <v>6.1000000000000004E-3</v>
      </c>
      <c r="O483" s="5">
        <f t="shared" si="44"/>
        <v>2.7191360000000002</v>
      </c>
      <c r="P483">
        <f t="shared" si="45"/>
        <v>165</v>
      </c>
      <c r="Q483" s="6">
        <f t="shared" si="46"/>
        <v>73550.399999999994</v>
      </c>
      <c r="R483" s="6">
        <f t="shared" si="47"/>
        <v>448.65744000000001</v>
      </c>
      <c r="S483" t="str">
        <f t="shared" si="48"/>
        <v>Alerta</v>
      </c>
    </row>
    <row r="484" spans="1:19" x14ac:dyDescent="0.3">
      <c r="A484" t="s">
        <v>405</v>
      </c>
      <c r="B484" t="s">
        <v>23</v>
      </c>
      <c r="C484" s="5">
        <f>VLOOKUP(A484,Dim!A:B,2,0)</f>
        <v>0</v>
      </c>
      <c r="D484" s="1">
        <v>-8.4099999999999994E-2</v>
      </c>
      <c r="E484" s="1">
        <v>0</v>
      </c>
      <c r="F484">
        <v>8.16</v>
      </c>
      <c r="G484" s="2">
        <v>86240000</v>
      </c>
      <c r="H484">
        <v>0</v>
      </c>
      <c r="I484">
        <v>0</v>
      </c>
      <c r="J484">
        <v>0</v>
      </c>
      <c r="K484">
        <v>0</v>
      </c>
      <c r="L484" s="1">
        <v>0</v>
      </c>
      <c r="M484" s="1">
        <v>0</v>
      </c>
      <c r="N484" s="4">
        <f t="shared" si="43"/>
        <v>0</v>
      </c>
      <c r="O484" s="5">
        <f t="shared" si="44"/>
        <v>0</v>
      </c>
      <c r="P484" t="e">
        <f t="shared" si="45"/>
        <v>#DIV/0!</v>
      </c>
      <c r="Q484" s="6" t="e">
        <f t="shared" si="46"/>
        <v>#DIV/0!</v>
      </c>
      <c r="R484" s="6" t="e">
        <f t="shared" si="47"/>
        <v>#DIV/0!</v>
      </c>
      <c r="S484" t="str">
        <f t="shared" si="48"/>
        <v>Alerta</v>
      </c>
    </row>
    <row r="485" spans="1:19" x14ac:dyDescent="0.3">
      <c r="A485" t="s">
        <v>413</v>
      </c>
      <c r="B485" t="s">
        <v>142</v>
      </c>
      <c r="C485" s="5">
        <f>VLOOKUP(A485,Dim!A:B,2,0)</f>
        <v>0</v>
      </c>
      <c r="D485" s="1">
        <v>0</v>
      </c>
      <c r="E485" s="1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s="1">
        <v>0</v>
      </c>
      <c r="M485" s="1">
        <v>0</v>
      </c>
      <c r="N485" s="4">
        <f t="shared" si="43"/>
        <v>0</v>
      </c>
      <c r="O485" s="5">
        <f t="shared" si="44"/>
        <v>0</v>
      </c>
      <c r="P485" t="e">
        <f t="shared" si="45"/>
        <v>#DIV/0!</v>
      </c>
      <c r="Q485" s="6" t="e">
        <f t="shared" si="46"/>
        <v>#DIV/0!</v>
      </c>
      <c r="R485" s="6" t="e">
        <f t="shared" si="47"/>
        <v>#DIV/0!</v>
      </c>
      <c r="S485" t="str">
        <f t="shared" si="48"/>
        <v>netro</v>
      </c>
    </row>
    <row r="486" spans="1:19" x14ac:dyDescent="0.3">
      <c r="A486" t="s">
        <v>508</v>
      </c>
      <c r="B486" t="s">
        <v>19</v>
      </c>
      <c r="C486" s="5">
        <f>VLOOKUP(A486,Dim!A:B,2,0)</f>
        <v>101.41</v>
      </c>
      <c r="D486" s="1">
        <v>0.12770000000000001</v>
      </c>
      <c r="E486" s="1">
        <v>4.7899999999999998E-2</v>
      </c>
      <c r="F486">
        <v>1.02</v>
      </c>
      <c r="G486" s="2">
        <v>52618100</v>
      </c>
      <c r="H486" s="2">
        <v>178405</v>
      </c>
      <c r="I486">
        <v>0</v>
      </c>
      <c r="J486">
        <v>0</v>
      </c>
      <c r="K486">
        <v>0</v>
      </c>
      <c r="L486" s="1">
        <v>0</v>
      </c>
      <c r="M486" s="1">
        <v>0</v>
      </c>
      <c r="N486" s="4">
        <f t="shared" si="43"/>
        <v>3.9916666666666668E-3</v>
      </c>
      <c r="O486" s="5">
        <f t="shared" si="44"/>
        <v>0.40479491666666667</v>
      </c>
      <c r="P486">
        <f t="shared" si="45"/>
        <v>252</v>
      </c>
      <c r="Q486" s="6">
        <f t="shared" si="46"/>
        <v>25555.32</v>
      </c>
      <c r="R486" s="6">
        <f t="shared" si="47"/>
        <v>102.008319</v>
      </c>
      <c r="S486" t="str">
        <f t="shared" si="48"/>
        <v>Bom</v>
      </c>
    </row>
    <row r="487" spans="1:19" x14ac:dyDescent="0.3">
      <c r="A487" t="s">
        <v>509</v>
      </c>
      <c r="B487" t="s">
        <v>14</v>
      </c>
      <c r="C487" s="5">
        <f>VLOOKUP(A487,Dim!A:B,2,0)</f>
        <v>74.8</v>
      </c>
      <c r="D487" s="1">
        <v>0.13100000000000001</v>
      </c>
      <c r="E487" s="1">
        <v>0.14610000000000001</v>
      </c>
      <c r="F487">
        <v>0.88</v>
      </c>
      <c r="G487" s="2">
        <v>922116000</v>
      </c>
      <c r="H487" s="2">
        <v>1943240</v>
      </c>
      <c r="I487">
        <v>0</v>
      </c>
      <c r="J487">
        <v>0</v>
      </c>
      <c r="K487">
        <v>0</v>
      </c>
      <c r="L487" s="1">
        <v>0</v>
      </c>
      <c r="M487" s="1">
        <v>0</v>
      </c>
      <c r="N487" s="4">
        <f t="shared" si="43"/>
        <v>1.2175E-2</v>
      </c>
      <c r="O487" s="5">
        <f t="shared" si="44"/>
        <v>0.91069</v>
      </c>
      <c r="P487">
        <f t="shared" si="45"/>
        <v>84</v>
      </c>
      <c r="Q487" s="6">
        <f t="shared" si="46"/>
        <v>6283.2</v>
      </c>
      <c r="R487" s="6">
        <f t="shared" si="47"/>
        <v>76.497960000000006</v>
      </c>
      <c r="S487" t="str">
        <f t="shared" si="48"/>
        <v>Alerta</v>
      </c>
    </row>
    <row r="488" spans="1:19" x14ac:dyDescent="0.3">
      <c r="A488" t="s">
        <v>417</v>
      </c>
      <c r="B488" t="s">
        <v>19</v>
      </c>
      <c r="C488" s="5">
        <f>VLOOKUP(A488,Dim!A:B,2,0)</f>
        <v>0</v>
      </c>
      <c r="D488" s="1">
        <v>2.5399999999999999E-2</v>
      </c>
      <c r="E488" s="1">
        <v>0</v>
      </c>
      <c r="F488">
        <v>0.75</v>
      </c>
      <c r="G488" s="2">
        <v>43036000</v>
      </c>
      <c r="H488">
        <v>0</v>
      </c>
      <c r="I488">
        <v>3</v>
      </c>
      <c r="J488" s="3">
        <v>3089.11</v>
      </c>
      <c r="K488">
        <v>431.09</v>
      </c>
      <c r="L488" s="1">
        <v>0.1396</v>
      </c>
      <c r="M488" s="1">
        <v>0.47020000000000001</v>
      </c>
      <c r="N488" s="4">
        <f t="shared" si="43"/>
        <v>0</v>
      </c>
      <c r="O488" s="5">
        <f t="shared" si="44"/>
        <v>0</v>
      </c>
      <c r="P488" t="e">
        <f t="shared" si="45"/>
        <v>#DIV/0!</v>
      </c>
      <c r="Q488" s="6" t="e">
        <f t="shared" si="46"/>
        <v>#DIV/0!</v>
      </c>
      <c r="R488" s="6" t="e">
        <f t="shared" si="47"/>
        <v>#DIV/0!</v>
      </c>
      <c r="S488" t="str">
        <f t="shared" si="48"/>
        <v>Bom</v>
      </c>
    </row>
    <row r="489" spans="1:19" x14ac:dyDescent="0.3">
      <c r="A489" t="s">
        <v>418</v>
      </c>
      <c r="B489" t="s">
        <v>14</v>
      </c>
      <c r="C489" s="5">
        <f>VLOOKUP(A489,Dim!A:B,2,0)</f>
        <v>0</v>
      </c>
      <c r="D489" s="1">
        <v>4.4699999999999997E-2</v>
      </c>
      <c r="E489" s="1">
        <v>0</v>
      </c>
      <c r="F489">
        <v>2.23</v>
      </c>
      <c r="G489" s="2">
        <v>172391000</v>
      </c>
      <c r="H489">
        <v>0</v>
      </c>
      <c r="I489">
        <v>0</v>
      </c>
      <c r="J489">
        <v>0</v>
      </c>
      <c r="K489">
        <v>0</v>
      </c>
      <c r="L489" s="1">
        <v>0</v>
      </c>
      <c r="M489" s="1">
        <v>0</v>
      </c>
      <c r="N489" s="4">
        <f t="shared" si="43"/>
        <v>0</v>
      </c>
      <c r="O489" s="5">
        <f t="shared" si="44"/>
        <v>0</v>
      </c>
      <c r="P489" t="e">
        <f t="shared" si="45"/>
        <v>#DIV/0!</v>
      </c>
      <c r="Q489" s="6" t="e">
        <f t="shared" si="46"/>
        <v>#DIV/0!</v>
      </c>
      <c r="R489" s="6" t="e">
        <f t="shared" si="47"/>
        <v>#DIV/0!</v>
      </c>
      <c r="S489" t="str">
        <f t="shared" si="48"/>
        <v>Bom</v>
      </c>
    </row>
    <row r="490" spans="1:19" x14ac:dyDescent="0.3">
      <c r="A490" t="s">
        <v>423</v>
      </c>
      <c r="B490" t="s">
        <v>23</v>
      </c>
      <c r="C490" s="5">
        <f>VLOOKUP(A490,Dim!A:B,2,0)</f>
        <v>0</v>
      </c>
      <c r="D490" s="1">
        <v>0.108</v>
      </c>
      <c r="E490" s="1">
        <v>0</v>
      </c>
      <c r="F490">
        <v>0.94</v>
      </c>
      <c r="G490" s="2">
        <v>14843100</v>
      </c>
      <c r="H490">
        <v>0</v>
      </c>
      <c r="I490">
        <v>0</v>
      </c>
      <c r="J490">
        <v>0</v>
      </c>
      <c r="K490">
        <v>0</v>
      </c>
      <c r="L490" s="1">
        <v>0</v>
      </c>
      <c r="M490" s="1">
        <v>0</v>
      </c>
      <c r="N490" s="4">
        <f t="shared" si="43"/>
        <v>0</v>
      </c>
      <c r="O490" s="5">
        <f t="shared" si="44"/>
        <v>0</v>
      </c>
      <c r="P490" t="e">
        <f t="shared" si="45"/>
        <v>#DIV/0!</v>
      </c>
      <c r="Q490" s="6" t="e">
        <f t="shared" si="46"/>
        <v>#DIV/0!</v>
      </c>
      <c r="R490" s="6" t="e">
        <f t="shared" si="47"/>
        <v>#DIV/0!</v>
      </c>
      <c r="S490" t="str">
        <f t="shared" si="48"/>
        <v>Bom</v>
      </c>
    </row>
    <row r="491" spans="1:19" x14ac:dyDescent="0.3">
      <c r="A491" t="s">
        <v>430</v>
      </c>
      <c r="B491" t="s">
        <v>23</v>
      </c>
      <c r="C491" s="5">
        <f>VLOOKUP(A491,Dim!A:B,2,0)</f>
        <v>0</v>
      </c>
      <c r="D491" s="1">
        <v>7.2099999999999997E-2</v>
      </c>
      <c r="E491" s="1">
        <v>0.31090000000000001</v>
      </c>
      <c r="F491">
        <v>0.72</v>
      </c>
      <c r="G491" s="2">
        <v>4352980</v>
      </c>
      <c r="H491">
        <v>0</v>
      </c>
      <c r="I491">
        <v>0</v>
      </c>
      <c r="J491">
        <v>0</v>
      </c>
      <c r="K491">
        <v>0</v>
      </c>
      <c r="L491" s="1">
        <v>0</v>
      </c>
      <c r="M491" s="1">
        <v>0</v>
      </c>
      <c r="N491" s="4">
        <f t="shared" si="43"/>
        <v>2.5908333333333335E-2</v>
      </c>
      <c r="O491" s="5">
        <f t="shared" si="44"/>
        <v>0</v>
      </c>
      <c r="P491" t="e">
        <f t="shared" si="45"/>
        <v>#DIV/0!</v>
      </c>
      <c r="Q491" s="6" t="e">
        <f t="shared" si="46"/>
        <v>#DIV/0!</v>
      </c>
      <c r="R491" s="6" t="e">
        <f t="shared" si="47"/>
        <v>#DIV/0!</v>
      </c>
      <c r="S491" t="str">
        <f t="shared" si="48"/>
        <v>Alerta</v>
      </c>
    </row>
    <row r="492" spans="1:19" x14ac:dyDescent="0.3">
      <c r="A492" t="s">
        <v>514</v>
      </c>
      <c r="B492" t="s">
        <v>47</v>
      </c>
      <c r="C492" s="5">
        <f>VLOOKUP(A492,Dim!A:B,2,0)</f>
        <v>90.03</v>
      </c>
      <c r="D492" s="1">
        <v>8.5400000000000004E-2</v>
      </c>
      <c r="E492" s="1">
        <v>9.0800000000000006E-2</v>
      </c>
      <c r="F492">
        <v>0.78</v>
      </c>
      <c r="G492" s="2">
        <v>1321420000</v>
      </c>
      <c r="H492" s="2">
        <v>1915130</v>
      </c>
      <c r="I492">
        <v>15</v>
      </c>
      <c r="J492" s="3">
        <v>2326.38</v>
      </c>
      <c r="K492">
        <v>238.34</v>
      </c>
      <c r="L492" s="1">
        <v>0.10249999999999999</v>
      </c>
      <c r="M492" s="1">
        <v>4.5900000000000003E-2</v>
      </c>
      <c r="N492" s="4">
        <f t="shared" si="43"/>
        <v>7.5666666666666669E-3</v>
      </c>
      <c r="O492" s="5">
        <f t="shared" si="44"/>
        <v>0.68122700000000003</v>
      </c>
      <c r="P492">
        <f t="shared" si="45"/>
        <v>134</v>
      </c>
      <c r="Q492" s="6">
        <f t="shared" si="46"/>
        <v>12064.02</v>
      </c>
      <c r="R492" s="6">
        <f t="shared" si="47"/>
        <v>91.284418000000002</v>
      </c>
      <c r="S492" t="str">
        <f t="shared" si="48"/>
        <v>Alerta</v>
      </c>
    </row>
    <row r="493" spans="1:19" x14ac:dyDescent="0.3">
      <c r="A493" t="s">
        <v>441</v>
      </c>
      <c r="B493" t="s">
        <v>81</v>
      </c>
      <c r="C493" s="5">
        <f>VLOOKUP(A493,Dim!A:B,2,0)</f>
        <v>0</v>
      </c>
      <c r="D493" s="1">
        <v>0.19739999999999999</v>
      </c>
      <c r="E493" s="1">
        <v>0</v>
      </c>
      <c r="F493">
        <v>4.1500000000000004</v>
      </c>
      <c r="G493" s="2">
        <v>88025600</v>
      </c>
      <c r="H493">
        <v>0</v>
      </c>
      <c r="I493">
        <v>4</v>
      </c>
      <c r="J493" s="3">
        <v>61028.800000000003</v>
      </c>
      <c r="K493">
        <v>0</v>
      </c>
      <c r="L493" s="1">
        <v>0</v>
      </c>
      <c r="M493" s="1">
        <v>0</v>
      </c>
      <c r="N493" s="4">
        <f t="shared" si="43"/>
        <v>0</v>
      </c>
      <c r="O493" s="5">
        <f t="shared" si="44"/>
        <v>0</v>
      </c>
      <c r="P493" t="e">
        <f t="shared" si="45"/>
        <v>#DIV/0!</v>
      </c>
      <c r="Q493" s="6" t="e">
        <f t="shared" si="46"/>
        <v>#DIV/0!</v>
      </c>
      <c r="R493" s="6" t="e">
        <f t="shared" si="47"/>
        <v>#DIV/0!</v>
      </c>
      <c r="S493" t="str">
        <f t="shared" si="48"/>
        <v>Bom</v>
      </c>
    </row>
    <row r="494" spans="1:19" x14ac:dyDescent="0.3">
      <c r="A494" t="s">
        <v>516</v>
      </c>
      <c r="B494" t="s">
        <v>16</v>
      </c>
      <c r="C494" s="5">
        <f>VLOOKUP(A494,Dim!A:B,2,0)</f>
        <v>107.36</v>
      </c>
      <c r="D494" s="1">
        <v>8.72E-2</v>
      </c>
      <c r="E494" s="1">
        <v>8.77E-2</v>
      </c>
      <c r="F494">
        <v>0.88</v>
      </c>
      <c r="G494" s="2">
        <v>3141170000</v>
      </c>
      <c r="H494" s="2">
        <v>3809660</v>
      </c>
      <c r="I494">
        <v>30</v>
      </c>
      <c r="J494" s="3">
        <v>3023.06</v>
      </c>
      <c r="K494">
        <v>288.33999999999997</v>
      </c>
      <c r="L494" s="1">
        <v>9.5399999999999999E-2</v>
      </c>
      <c r="M494" s="1">
        <v>0</v>
      </c>
      <c r="N494" s="4">
        <f t="shared" si="43"/>
        <v>7.3083333333333333E-3</v>
      </c>
      <c r="O494" s="5">
        <f t="shared" si="44"/>
        <v>0.78462266666666669</v>
      </c>
      <c r="P494">
        <f t="shared" si="45"/>
        <v>138</v>
      </c>
      <c r="Q494" s="6">
        <f t="shared" si="46"/>
        <v>14815.68</v>
      </c>
      <c r="R494" s="6">
        <f t="shared" si="47"/>
        <v>108.277928</v>
      </c>
      <c r="S494" t="str">
        <f t="shared" si="48"/>
        <v>Alerta</v>
      </c>
    </row>
    <row r="495" spans="1:19" x14ac:dyDescent="0.3">
      <c r="A495" t="s">
        <v>452</v>
      </c>
      <c r="B495" t="s">
        <v>47</v>
      </c>
      <c r="C495" s="5">
        <f>VLOOKUP(A495,Dim!A:B,2,0)</f>
        <v>0</v>
      </c>
      <c r="D495" s="1">
        <v>5.4399999999999997E-2</v>
      </c>
      <c r="E495" s="1">
        <v>0</v>
      </c>
      <c r="F495">
        <v>1</v>
      </c>
      <c r="G495" s="2">
        <v>746822000</v>
      </c>
      <c r="H495">
        <v>0</v>
      </c>
      <c r="I495">
        <v>6</v>
      </c>
      <c r="J495" s="3">
        <v>1965.97</v>
      </c>
      <c r="K495">
        <v>251.82</v>
      </c>
      <c r="L495" s="1">
        <v>0.12809999999999999</v>
      </c>
      <c r="M495" s="1">
        <v>0</v>
      </c>
      <c r="N495" s="4">
        <f t="shared" si="43"/>
        <v>0</v>
      </c>
      <c r="O495" s="5">
        <f t="shared" si="44"/>
        <v>0</v>
      </c>
      <c r="P495" t="e">
        <f t="shared" si="45"/>
        <v>#DIV/0!</v>
      </c>
      <c r="Q495" s="6" t="e">
        <f t="shared" si="46"/>
        <v>#DIV/0!</v>
      </c>
      <c r="R495" s="6" t="e">
        <f t="shared" si="47"/>
        <v>#DIV/0!</v>
      </c>
      <c r="S495" t="str">
        <f t="shared" si="48"/>
        <v>Bom</v>
      </c>
    </row>
    <row r="496" spans="1:19" x14ac:dyDescent="0.3">
      <c r="A496" t="s">
        <v>518</v>
      </c>
      <c r="B496" t="s">
        <v>14</v>
      </c>
      <c r="C496" s="5">
        <f>VLOOKUP(A496,Dim!A:B,2,0)</f>
        <v>155.02000000000001</v>
      </c>
      <c r="D496" s="1">
        <v>6.1800000000000001E-2</v>
      </c>
      <c r="E496" s="1">
        <v>6.1800000000000001E-2</v>
      </c>
      <c r="F496">
        <v>0.95</v>
      </c>
      <c r="G496" s="2">
        <v>755898000</v>
      </c>
      <c r="H496">
        <v>0</v>
      </c>
      <c r="I496">
        <v>39</v>
      </c>
      <c r="J496">
        <v>796.46</v>
      </c>
      <c r="K496">
        <v>51.74</v>
      </c>
      <c r="L496" s="1">
        <v>6.5000000000000002E-2</v>
      </c>
      <c r="M496" s="1">
        <v>0</v>
      </c>
      <c r="N496" s="4">
        <f t="shared" si="43"/>
        <v>5.1500000000000001E-3</v>
      </c>
      <c r="O496" s="5">
        <f t="shared" si="44"/>
        <v>0.79835300000000009</v>
      </c>
      <c r="P496">
        <f t="shared" si="45"/>
        <v>196</v>
      </c>
      <c r="Q496" s="6">
        <f t="shared" si="46"/>
        <v>30383.920000000002</v>
      </c>
      <c r="R496" s="6">
        <f t="shared" si="47"/>
        <v>156.47718800000001</v>
      </c>
      <c r="S496" t="str">
        <f t="shared" si="48"/>
        <v>netro</v>
      </c>
    </row>
    <row r="497" spans="1:19" x14ac:dyDescent="0.3">
      <c r="A497" t="s">
        <v>453</v>
      </c>
      <c r="B497" t="s">
        <v>14</v>
      </c>
      <c r="C497" s="5">
        <f>VLOOKUP(A497,Dim!A:B,2,0)</f>
        <v>0</v>
      </c>
      <c r="D497" s="1">
        <v>1.9800000000000002E-2</v>
      </c>
      <c r="E497" s="1">
        <v>0</v>
      </c>
      <c r="F497">
        <v>0.89</v>
      </c>
      <c r="G497" s="2">
        <v>371533000</v>
      </c>
      <c r="H497">
        <v>0</v>
      </c>
      <c r="I497">
        <v>5</v>
      </c>
      <c r="J497" s="3">
        <v>11069</v>
      </c>
      <c r="K497" s="3">
        <v>1012.66</v>
      </c>
      <c r="L497" s="1">
        <v>9.1499999999999998E-2</v>
      </c>
      <c r="M497" s="1">
        <v>0</v>
      </c>
      <c r="N497" s="4">
        <f t="shared" si="43"/>
        <v>0</v>
      </c>
      <c r="O497" s="5">
        <f t="shared" si="44"/>
        <v>0</v>
      </c>
      <c r="P497" t="e">
        <f t="shared" si="45"/>
        <v>#DIV/0!</v>
      </c>
      <c r="Q497" s="6" t="e">
        <f t="shared" si="46"/>
        <v>#DIV/0!</v>
      </c>
      <c r="R497" s="6" t="e">
        <f t="shared" si="47"/>
        <v>#DIV/0!</v>
      </c>
      <c r="S497" t="str">
        <f t="shared" si="48"/>
        <v>Bom</v>
      </c>
    </row>
    <row r="498" spans="1:19" x14ac:dyDescent="0.3">
      <c r="A498" t="s">
        <v>520</v>
      </c>
      <c r="B498" t="s">
        <v>19</v>
      </c>
      <c r="C498" s="5">
        <f>VLOOKUP(A498,Dim!A:B,2,0)</f>
        <v>77.02</v>
      </c>
      <c r="D498" s="1">
        <v>0.1225</v>
      </c>
      <c r="E498" s="1">
        <v>0.1022</v>
      </c>
      <c r="F498">
        <v>0.85</v>
      </c>
      <c r="G498" s="2">
        <v>64991200</v>
      </c>
      <c r="H498" s="2">
        <v>3039</v>
      </c>
      <c r="I498">
        <v>0</v>
      </c>
      <c r="J498">
        <v>0</v>
      </c>
      <c r="K498">
        <v>0</v>
      </c>
      <c r="L498" s="1">
        <v>0</v>
      </c>
      <c r="M498" s="1">
        <v>0</v>
      </c>
      <c r="N498" s="4">
        <f t="shared" si="43"/>
        <v>8.5166666666666672E-3</v>
      </c>
      <c r="O498" s="5">
        <f t="shared" si="44"/>
        <v>0.65595366666666666</v>
      </c>
      <c r="P498">
        <f t="shared" si="45"/>
        <v>119</v>
      </c>
      <c r="Q498" s="6">
        <f t="shared" si="46"/>
        <v>9165.3799999999992</v>
      </c>
      <c r="R498" s="6">
        <f t="shared" si="47"/>
        <v>78.058486333333335</v>
      </c>
      <c r="S498" t="str">
        <f t="shared" si="48"/>
        <v>Bom</v>
      </c>
    </row>
    <row r="499" spans="1:19" x14ac:dyDescent="0.3">
      <c r="A499" t="s">
        <v>456</v>
      </c>
      <c r="B499" t="s">
        <v>16</v>
      </c>
      <c r="C499" s="5">
        <f>VLOOKUP(A499,Dim!A:B,2,0)</f>
        <v>0</v>
      </c>
      <c r="D499" s="1">
        <v>8.6900000000000005E-2</v>
      </c>
      <c r="E499" s="1">
        <v>8.3000000000000004E-2</v>
      </c>
      <c r="F499">
        <v>0.86</v>
      </c>
      <c r="G499" s="2">
        <v>1439630000</v>
      </c>
      <c r="H499">
        <v>0</v>
      </c>
      <c r="I499">
        <v>1</v>
      </c>
      <c r="J499" s="3">
        <v>11023.8</v>
      </c>
      <c r="K499" s="3">
        <v>1123.22</v>
      </c>
      <c r="L499" s="1">
        <v>0.1019</v>
      </c>
      <c r="M499" s="1">
        <v>3.1199999999999999E-2</v>
      </c>
      <c r="N499" s="4">
        <f t="shared" si="43"/>
        <v>6.9166666666666673E-3</v>
      </c>
      <c r="O499" s="5">
        <f t="shared" si="44"/>
        <v>0</v>
      </c>
      <c r="P499" t="e">
        <f t="shared" si="45"/>
        <v>#DIV/0!</v>
      </c>
      <c r="Q499" s="6" t="e">
        <f t="shared" si="46"/>
        <v>#DIV/0!</v>
      </c>
      <c r="R499" s="6" t="e">
        <f t="shared" si="47"/>
        <v>#DIV/0!</v>
      </c>
      <c r="S499" t="str">
        <f t="shared" si="48"/>
        <v>Bom</v>
      </c>
    </row>
    <row r="500" spans="1:19" x14ac:dyDescent="0.3">
      <c r="A500" t="s">
        <v>522</v>
      </c>
      <c r="B500" t="s">
        <v>14</v>
      </c>
      <c r="C500" s="5">
        <f>VLOOKUP(A500,Dim!A:B,2,0)</f>
        <v>77.540000000000006</v>
      </c>
      <c r="D500" s="1">
        <v>0.1336</v>
      </c>
      <c r="E500" s="1">
        <v>0.1313</v>
      </c>
      <c r="F500">
        <v>0.91</v>
      </c>
      <c r="G500" s="2">
        <v>1185800000</v>
      </c>
      <c r="H500" s="2">
        <v>1743440</v>
      </c>
      <c r="I500">
        <v>0</v>
      </c>
      <c r="J500">
        <v>0</v>
      </c>
      <c r="K500">
        <v>0</v>
      </c>
      <c r="L500" s="1">
        <v>0</v>
      </c>
      <c r="M500" s="1">
        <v>0</v>
      </c>
      <c r="N500" s="4">
        <f t="shared" si="43"/>
        <v>1.0941666666666667E-2</v>
      </c>
      <c r="O500" s="5">
        <f t="shared" si="44"/>
        <v>0.8484168333333334</v>
      </c>
      <c r="P500">
        <f t="shared" si="45"/>
        <v>93</v>
      </c>
      <c r="Q500" s="6">
        <f t="shared" si="46"/>
        <v>7211.22</v>
      </c>
      <c r="R500" s="6">
        <f t="shared" si="47"/>
        <v>78.902765500000001</v>
      </c>
      <c r="S500" t="str">
        <f t="shared" si="48"/>
        <v>Bom</v>
      </c>
    </row>
    <row r="501" spans="1:19" x14ac:dyDescent="0.3">
      <c r="A501" t="s">
        <v>460</v>
      </c>
      <c r="B501" t="s">
        <v>14</v>
      </c>
      <c r="C501" s="5">
        <f>VLOOKUP(A501,Dim!A:B,2,0)</f>
        <v>0</v>
      </c>
      <c r="D501" s="1">
        <v>3.09E-2</v>
      </c>
      <c r="E501" s="1">
        <v>1.2800000000000001E-2</v>
      </c>
      <c r="F501">
        <v>1.03</v>
      </c>
      <c r="G501" s="2">
        <v>200302000</v>
      </c>
      <c r="H501">
        <v>0</v>
      </c>
      <c r="I501">
        <v>0</v>
      </c>
      <c r="J501">
        <v>0</v>
      </c>
      <c r="K501">
        <v>0</v>
      </c>
      <c r="L501" s="1">
        <v>0</v>
      </c>
      <c r="M501" s="1">
        <v>0</v>
      </c>
      <c r="N501" s="4">
        <f t="shared" si="43"/>
        <v>1.0666666666666667E-3</v>
      </c>
      <c r="O501" s="5">
        <f t="shared" si="44"/>
        <v>0</v>
      </c>
      <c r="P501" t="e">
        <f t="shared" si="45"/>
        <v>#DIV/0!</v>
      </c>
      <c r="Q501" s="6" t="e">
        <f t="shared" si="46"/>
        <v>#DIV/0!</v>
      </c>
      <c r="R501" s="6" t="e">
        <f t="shared" si="47"/>
        <v>#DIV/0!</v>
      </c>
      <c r="S501" t="str">
        <f t="shared" si="48"/>
        <v>Bom</v>
      </c>
    </row>
    <row r="502" spans="1:19" x14ac:dyDescent="0.3">
      <c r="A502" t="s">
        <v>465</v>
      </c>
      <c r="B502" t="s">
        <v>19</v>
      </c>
      <c r="C502" s="5">
        <f>VLOOKUP(A502,Dim!A:B,2,0)</f>
        <v>0</v>
      </c>
      <c r="D502" s="1">
        <v>0.13300000000000001</v>
      </c>
      <c r="E502" s="1">
        <v>0</v>
      </c>
      <c r="F502">
        <v>1.02</v>
      </c>
      <c r="G502" s="2">
        <v>472992000</v>
      </c>
      <c r="H502">
        <v>0</v>
      </c>
      <c r="I502">
        <v>0</v>
      </c>
      <c r="J502">
        <v>0</v>
      </c>
      <c r="K502">
        <v>0</v>
      </c>
      <c r="L502" s="1">
        <v>0</v>
      </c>
      <c r="M502" s="1">
        <v>0</v>
      </c>
      <c r="N502" s="4">
        <f t="shared" si="43"/>
        <v>0</v>
      </c>
      <c r="O502" s="5">
        <f t="shared" si="44"/>
        <v>0</v>
      </c>
      <c r="P502" t="e">
        <f t="shared" si="45"/>
        <v>#DIV/0!</v>
      </c>
      <c r="Q502" s="6" t="e">
        <f t="shared" si="46"/>
        <v>#DIV/0!</v>
      </c>
      <c r="R502" s="6" t="e">
        <f t="shared" si="47"/>
        <v>#DIV/0!</v>
      </c>
      <c r="S502" t="str">
        <f t="shared" si="48"/>
        <v>Bom</v>
      </c>
    </row>
    <row r="503" spans="1:19" x14ac:dyDescent="0.3">
      <c r="A503" t="s">
        <v>525</v>
      </c>
      <c r="B503" t="s">
        <v>16</v>
      </c>
      <c r="C503" s="5">
        <f>VLOOKUP(A503,Dim!A:B,2,0)</f>
        <v>73.37</v>
      </c>
      <c r="D503" s="1">
        <v>0.1152</v>
      </c>
      <c r="E503" s="1">
        <v>0.1053</v>
      </c>
      <c r="F503">
        <v>0.64</v>
      </c>
      <c r="G503" s="2">
        <v>154619000</v>
      </c>
      <c r="H503" s="2">
        <v>42674</v>
      </c>
      <c r="I503">
        <v>3</v>
      </c>
      <c r="J503" s="3">
        <v>1741.46</v>
      </c>
      <c r="K503">
        <v>377.89</v>
      </c>
      <c r="L503" s="1">
        <v>0.217</v>
      </c>
      <c r="M503" s="1">
        <v>6.0900000000000003E-2</v>
      </c>
      <c r="N503" s="4">
        <f t="shared" si="43"/>
        <v>8.7749999999999998E-3</v>
      </c>
      <c r="O503" s="5">
        <f t="shared" si="44"/>
        <v>0.64382175000000008</v>
      </c>
      <c r="P503">
        <f t="shared" si="45"/>
        <v>115</v>
      </c>
      <c r="Q503" s="6">
        <f t="shared" si="46"/>
        <v>8437.5500000000011</v>
      </c>
      <c r="R503" s="6">
        <f t="shared" si="47"/>
        <v>74.039501250000015</v>
      </c>
      <c r="S503" t="str">
        <f t="shared" si="48"/>
        <v>Bom</v>
      </c>
    </row>
    <row r="504" spans="1:19" x14ac:dyDescent="0.3">
      <c r="A504" t="s">
        <v>477</v>
      </c>
      <c r="B504" t="s">
        <v>19</v>
      </c>
      <c r="C504" s="5">
        <f>VLOOKUP(A504,Dim!A:B,2,0)</f>
        <v>0</v>
      </c>
      <c r="D504" s="1">
        <v>-8.0000000000000004E-4</v>
      </c>
      <c r="E504" s="1">
        <v>0</v>
      </c>
      <c r="F504">
        <v>18.079999999999998</v>
      </c>
      <c r="G504" s="2">
        <v>288858000</v>
      </c>
      <c r="H504">
        <v>0</v>
      </c>
      <c r="I504">
        <v>0</v>
      </c>
      <c r="J504">
        <v>0</v>
      </c>
      <c r="K504">
        <v>0</v>
      </c>
      <c r="L504" s="1">
        <v>0</v>
      </c>
      <c r="M504" s="1">
        <v>0</v>
      </c>
      <c r="N504" s="4">
        <f t="shared" si="43"/>
        <v>0</v>
      </c>
      <c r="O504" s="5">
        <f t="shared" si="44"/>
        <v>0</v>
      </c>
      <c r="P504" t="e">
        <f t="shared" si="45"/>
        <v>#DIV/0!</v>
      </c>
      <c r="Q504" s="6" t="e">
        <f t="shared" si="46"/>
        <v>#DIV/0!</v>
      </c>
      <c r="R504" s="6" t="e">
        <f t="shared" si="47"/>
        <v>#DIV/0!</v>
      </c>
      <c r="S504" t="str">
        <f t="shared" si="48"/>
        <v>Alerta</v>
      </c>
    </row>
    <row r="505" spans="1:19" x14ac:dyDescent="0.3">
      <c r="A505" t="s">
        <v>527</v>
      </c>
      <c r="B505" t="s">
        <v>47</v>
      </c>
      <c r="C505" s="5">
        <f>VLOOKUP(A505,Dim!A:B,2,0)</f>
        <v>87.4</v>
      </c>
      <c r="D505" s="1">
        <v>0.13350000000000001</v>
      </c>
      <c r="E505" s="1">
        <v>0.13289999999999999</v>
      </c>
      <c r="F505">
        <v>0.84</v>
      </c>
      <c r="G505" s="2">
        <v>184661000</v>
      </c>
      <c r="H505" s="2">
        <v>761936</v>
      </c>
      <c r="I505">
        <v>1</v>
      </c>
      <c r="J505">
        <v>721.95</v>
      </c>
      <c r="K505">
        <v>108.48</v>
      </c>
      <c r="L505" s="1">
        <v>0.15029999999999999</v>
      </c>
      <c r="M505" s="1">
        <v>0</v>
      </c>
      <c r="N505" s="4">
        <f t="shared" si="43"/>
        <v>1.1075E-2</v>
      </c>
      <c r="O505" s="5">
        <f t="shared" si="44"/>
        <v>0.96795500000000001</v>
      </c>
      <c r="P505">
        <f t="shared" si="45"/>
        <v>92</v>
      </c>
      <c r="Q505" s="6">
        <f t="shared" si="46"/>
        <v>8040.8</v>
      </c>
      <c r="R505" s="6">
        <f t="shared" si="47"/>
        <v>89.051860000000005</v>
      </c>
      <c r="S505" t="str">
        <f t="shared" si="48"/>
        <v>Bom</v>
      </c>
    </row>
    <row r="506" spans="1:19" x14ac:dyDescent="0.3">
      <c r="A506" t="s">
        <v>528</v>
      </c>
      <c r="B506" t="s">
        <v>14</v>
      </c>
      <c r="C506" s="5">
        <f>VLOOKUP(A506,Dim!A:B,2,0)</f>
        <v>65.900000000000006</v>
      </c>
      <c r="D506" s="1">
        <v>0.2301</v>
      </c>
      <c r="E506" s="1">
        <v>7.7999999999999996E-3</v>
      </c>
      <c r="F506">
        <v>0.66</v>
      </c>
      <c r="G506" s="2">
        <v>91353300</v>
      </c>
      <c r="H506">
        <v>3</v>
      </c>
      <c r="I506">
        <v>1</v>
      </c>
      <c r="J506" s="3">
        <v>2527.91</v>
      </c>
      <c r="K506">
        <v>21.67</v>
      </c>
      <c r="L506" s="1">
        <v>8.6E-3</v>
      </c>
      <c r="M506" s="1">
        <v>0</v>
      </c>
      <c r="N506" s="4">
        <f t="shared" si="43"/>
        <v>6.4999999999999997E-4</v>
      </c>
      <c r="O506" s="5">
        <f t="shared" si="44"/>
        <v>4.2835000000000005E-2</v>
      </c>
      <c r="P506">
        <f t="shared" si="45"/>
        <v>1540</v>
      </c>
      <c r="Q506" s="6">
        <f t="shared" si="46"/>
        <v>101486.00000000001</v>
      </c>
      <c r="R506" s="6">
        <f t="shared" si="47"/>
        <v>65.965900000000005</v>
      </c>
      <c r="S506" t="str">
        <f t="shared" si="48"/>
        <v>Bom</v>
      </c>
    </row>
    <row r="507" spans="1:19" x14ac:dyDescent="0.3">
      <c r="A507" t="s">
        <v>479</v>
      </c>
      <c r="B507" t="s">
        <v>142</v>
      </c>
      <c r="C507" s="5">
        <f>VLOOKUP(A507,Dim!A:B,2,0)</f>
        <v>0</v>
      </c>
      <c r="D507" s="1">
        <v>-1.1000000000000001E-3</v>
      </c>
      <c r="E507" s="1">
        <v>0</v>
      </c>
      <c r="F507">
        <v>486.34</v>
      </c>
      <c r="G507" s="2">
        <v>1020080000</v>
      </c>
      <c r="H507">
        <v>0</v>
      </c>
      <c r="I507">
        <v>1</v>
      </c>
      <c r="J507">
        <v>0</v>
      </c>
      <c r="K507">
        <v>0</v>
      </c>
      <c r="L507" s="1">
        <v>0</v>
      </c>
      <c r="M507" s="1">
        <v>0.1537</v>
      </c>
      <c r="N507" s="4">
        <f t="shared" si="43"/>
        <v>0</v>
      </c>
      <c r="O507" s="5">
        <f t="shared" si="44"/>
        <v>0</v>
      </c>
      <c r="P507" t="e">
        <f t="shared" si="45"/>
        <v>#DIV/0!</v>
      </c>
      <c r="Q507" s="6" t="e">
        <f t="shared" si="46"/>
        <v>#DIV/0!</v>
      </c>
      <c r="R507" s="6" t="e">
        <f t="shared" si="47"/>
        <v>#DIV/0!</v>
      </c>
      <c r="S507" t="str">
        <f t="shared" si="48"/>
        <v>Alerta</v>
      </c>
    </row>
    <row r="508" spans="1:19" x14ac:dyDescent="0.3">
      <c r="A508" t="s">
        <v>530</v>
      </c>
      <c r="B508" t="s">
        <v>19</v>
      </c>
      <c r="C508" s="5">
        <f>VLOOKUP(A508,Dim!A:B,2,0)</f>
        <v>84.58</v>
      </c>
      <c r="D508" s="1">
        <v>2.52E-2</v>
      </c>
      <c r="E508" s="1">
        <v>2.6599999999999999E-2</v>
      </c>
      <c r="F508">
        <v>0.8</v>
      </c>
      <c r="G508" s="2">
        <v>238756000</v>
      </c>
      <c r="H508" s="2">
        <v>359930</v>
      </c>
      <c r="I508">
        <v>5</v>
      </c>
      <c r="J508" s="3">
        <v>6852.64</v>
      </c>
      <c r="K508">
        <v>472.18</v>
      </c>
      <c r="L508" s="1">
        <v>6.8900000000000003E-2</v>
      </c>
      <c r="M508" s="1">
        <v>2.8299999999999999E-2</v>
      </c>
      <c r="N508" s="4">
        <f t="shared" si="43"/>
        <v>2.2166666666666667E-3</v>
      </c>
      <c r="O508" s="5">
        <f t="shared" si="44"/>
        <v>0.18748566666666666</v>
      </c>
      <c r="P508">
        <f t="shared" si="45"/>
        <v>453</v>
      </c>
      <c r="Q508" s="6">
        <f t="shared" si="46"/>
        <v>38314.74</v>
      </c>
      <c r="R508" s="6">
        <f t="shared" si="47"/>
        <v>84.931006999999994</v>
      </c>
      <c r="S508" t="str">
        <f t="shared" si="48"/>
        <v>Alerta</v>
      </c>
    </row>
    <row r="509" spans="1:19" x14ac:dyDescent="0.3">
      <c r="A509" t="s">
        <v>483</v>
      </c>
      <c r="B509" t="s">
        <v>142</v>
      </c>
      <c r="C509" s="5">
        <f>VLOOKUP(A509,Dim!A:B,2,0)</f>
        <v>0</v>
      </c>
      <c r="D509" s="1">
        <v>2.9600000000000001E-2</v>
      </c>
      <c r="E509" s="1">
        <v>0</v>
      </c>
      <c r="F509">
        <v>14.52</v>
      </c>
      <c r="G509" s="2">
        <v>203973000</v>
      </c>
      <c r="H509">
        <v>0</v>
      </c>
      <c r="I509">
        <v>0</v>
      </c>
      <c r="J509">
        <v>0</v>
      </c>
      <c r="K509">
        <v>0</v>
      </c>
      <c r="L509" s="1">
        <v>0</v>
      </c>
      <c r="M509" s="1">
        <v>0</v>
      </c>
      <c r="N509" s="4">
        <f t="shared" si="43"/>
        <v>0</v>
      </c>
      <c r="O509" s="5">
        <f t="shared" si="44"/>
        <v>0</v>
      </c>
      <c r="P509" t="e">
        <f t="shared" si="45"/>
        <v>#DIV/0!</v>
      </c>
      <c r="Q509" s="6" t="e">
        <f t="shared" si="46"/>
        <v>#DIV/0!</v>
      </c>
      <c r="R509" s="6" t="e">
        <f t="shared" si="47"/>
        <v>#DIV/0!</v>
      </c>
      <c r="S509" t="str">
        <f t="shared" si="48"/>
        <v>Bom</v>
      </c>
    </row>
    <row r="510" spans="1:19" x14ac:dyDescent="0.3">
      <c r="A510" t="s">
        <v>532</v>
      </c>
      <c r="B510" t="s">
        <v>19</v>
      </c>
      <c r="C510" s="5">
        <f>VLOOKUP(A510,Dim!A:B,2,0)</f>
        <v>90.07</v>
      </c>
      <c r="D510" s="1">
        <v>7.8200000000000006E-2</v>
      </c>
      <c r="E510" s="1">
        <v>0.1038</v>
      </c>
      <c r="F510">
        <v>1.01</v>
      </c>
      <c r="G510" s="2">
        <v>73036100</v>
      </c>
      <c r="H510">
        <v>533</v>
      </c>
      <c r="I510">
        <v>3</v>
      </c>
      <c r="J510" s="3">
        <v>2712.23</v>
      </c>
      <c r="K510">
        <v>349.24</v>
      </c>
      <c r="L510" s="1">
        <v>0.1288</v>
      </c>
      <c r="M510" s="1">
        <v>0</v>
      </c>
      <c r="N510" s="4">
        <f t="shared" si="43"/>
        <v>8.6499999999999997E-3</v>
      </c>
      <c r="O510" s="5">
        <f t="shared" si="44"/>
        <v>0.7791054999999999</v>
      </c>
      <c r="P510">
        <f t="shared" si="45"/>
        <v>117</v>
      </c>
      <c r="Q510" s="6">
        <f t="shared" si="46"/>
        <v>10538.189999999999</v>
      </c>
      <c r="R510" s="6">
        <f t="shared" si="47"/>
        <v>91.155343499999987</v>
      </c>
      <c r="S510" t="str">
        <f t="shared" si="48"/>
        <v>Alerta</v>
      </c>
    </row>
    <row r="511" spans="1:19" x14ac:dyDescent="0.3">
      <c r="A511" t="s">
        <v>533</v>
      </c>
      <c r="B511" t="s">
        <v>14</v>
      </c>
      <c r="C511" s="5">
        <f>VLOOKUP(A511,Dim!A:B,2,0)</f>
        <v>683</v>
      </c>
      <c r="D511" s="1">
        <v>-3.5000000000000001E-3</v>
      </c>
      <c r="E511" s="1">
        <v>0</v>
      </c>
      <c r="F511">
        <v>1.1100000000000001</v>
      </c>
      <c r="G511" s="2">
        <v>327344000</v>
      </c>
      <c r="H511" s="2">
        <v>523085</v>
      </c>
      <c r="I511">
        <v>1</v>
      </c>
      <c r="J511">
        <v>89.62</v>
      </c>
      <c r="K511">
        <v>4.83</v>
      </c>
      <c r="L511" s="1">
        <v>5.3900000000000003E-2</v>
      </c>
      <c r="M511" s="1">
        <v>0.9</v>
      </c>
      <c r="N511" s="4">
        <f t="shared" si="43"/>
        <v>0</v>
      </c>
      <c r="O511" s="5">
        <f t="shared" si="44"/>
        <v>0</v>
      </c>
      <c r="P511" t="e">
        <f t="shared" si="45"/>
        <v>#DIV/0!</v>
      </c>
      <c r="Q511" s="6" t="e">
        <f t="shared" si="46"/>
        <v>#DIV/0!</v>
      </c>
      <c r="R511" s="6" t="e">
        <f t="shared" si="47"/>
        <v>#DIV/0!</v>
      </c>
      <c r="S511" t="str">
        <f t="shared" si="48"/>
        <v>Alerta</v>
      </c>
    </row>
    <row r="512" spans="1:19" x14ac:dyDescent="0.3">
      <c r="A512" t="s">
        <v>488</v>
      </c>
      <c r="B512" t="s">
        <v>37</v>
      </c>
      <c r="C512" s="5">
        <f>VLOOKUP(A512,Dim!A:B,2,0)</f>
        <v>0</v>
      </c>
      <c r="D512" s="1">
        <v>0</v>
      </c>
      <c r="E512" s="1">
        <v>0</v>
      </c>
      <c r="F512">
        <v>0</v>
      </c>
      <c r="G512">
        <v>0</v>
      </c>
      <c r="H512">
        <v>0</v>
      </c>
      <c r="I512">
        <v>3</v>
      </c>
      <c r="J512">
        <v>0</v>
      </c>
      <c r="K512">
        <v>0</v>
      </c>
      <c r="L512" s="1">
        <v>0</v>
      </c>
      <c r="M512" s="1">
        <v>0</v>
      </c>
      <c r="N512" s="4">
        <f t="shared" si="43"/>
        <v>0</v>
      </c>
      <c r="O512" s="5">
        <f t="shared" si="44"/>
        <v>0</v>
      </c>
      <c r="P512" t="e">
        <f t="shared" si="45"/>
        <v>#DIV/0!</v>
      </c>
      <c r="Q512" s="6" t="e">
        <f t="shared" si="46"/>
        <v>#DIV/0!</v>
      </c>
      <c r="R512" s="6" t="e">
        <f t="shared" si="47"/>
        <v>#DIV/0!</v>
      </c>
      <c r="S512" t="str">
        <f t="shared" si="48"/>
        <v>netro</v>
      </c>
    </row>
    <row r="513" spans="1:19" x14ac:dyDescent="0.3">
      <c r="A513" t="s">
        <v>535</v>
      </c>
      <c r="B513" t="s">
        <v>16</v>
      </c>
      <c r="C513" s="5">
        <f>VLOOKUP(A513,Dim!A:B,2,0)</f>
        <v>49.9</v>
      </c>
      <c r="D513" s="1">
        <v>8.2000000000000003E-2</v>
      </c>
      <c r="E513" s="1">
        <v>9.5799999999999996E-2</v>
      </c>
      <c r="F513">
        <v>0.75</v>
      </c>
      <c r="G513" s="2">
        <v>58488300</v>
      </c>
      <c r="H513" s="2">
        <v>8462</v>
      </c>
      <c r="I513">
        <v>1</v>
      </c>
      <c r="J513" s="3">
        <v>1597.4</v>
      </c>
      <c r="K513">
        <v>140.13</v>
      </c>
      <c r="L513" s="1">
        <v>8.77E-2</v>
      </c>
      <c r="M513" s="1">
        <v>8.3799999999999999E-2</v>
      </c>
      <c r="N513" s="4">
        <f t="shared" si="43"/>
        <v>7.9833333333333336E-3</v>
      </c>
      <c r="O513" s="5">
        <f t="shared" si="44"/>
        <v>0.39836833333333332</v>
      </c>
      <c r="P513">
        <f t="shared" si="45"/>
        <v>127</v>
      </c>
      <c r="Q513" s="6">
        <f t="shared" si="46"/>
        <v>6337.3</v>
      </c>
      <c r="R513" s="6">
        <f t="shared" si="47"/>
        <v>50.592778333333335</v>
      </c>
      <c r="S513" t="str">
        <f t="shared" si="48"/>
        <v>Alerta</v>
      </c>
    </row>
    <row r="514" spans="1:19" x14ac:dyDescent="0.3">
      <c r="A514" t="s">
        <v>493</v>
      </c>
      <c r="B514" t="s">
        <v>14</v>
      </c>
      <c r="C514" s="5">
        <f>VLOOKUP(A514,Dim!A:B,2,0)</f>
        <v>0</v>
      </c>
      <c r="D514" s="1">
        <v>6.7500000000000004E-2</v>
      </c>
      <c r="E514" s="1">
        <v>0</v>
      </c>
      <c r="F514">
        <v>1</v>
      </c>
      <c r="G514" s="2">
        <v>4471100000</v>
      </c>
      <c r="H514">
        <v>0</v>
      </c>
      <c r="I514">
        <v>30</v>
      </c>
      <c r="J514" s="3">
        <v>3406.27</v>
      </c>
      <c r="K514">
        <v>182.66</v>
      </c>
      <c r="L514" s="1">
        <v>5.3600000000000002E-2</v>
      </c>
      <c r="M514" s="1">
        <v>2.8899999999999999E-2</v>
      </c>
      <c r="N514" s="4">
        <f t="shared" ref="N514:N529" si="49">E514/12</f>
        <v>0</v>
      </c>
      <c r="O514" s="5">
        <f t="shared" ref="O514:O529" si="50">N514*C514</f>
        <v>0</v>
      </c>
      <c r="P514" t="e">
        <f t="shared" ref="P514:P529" si="51">ROUNDUP((C514/O514),0)+1</f>
        <v>#DIV/0!</v>
      </c>
      <c r="Q514" s="6" t="e">
        <f t="shared" ref="Q514:Q529" si="52">P514*C514</f>
        <v>#DIV/0!</v>
      </c>
      <c r="R514" s="6" t="e">
        <f t="shared" ref="R514:R529" si="53">P514*O514</f>
        <v>#DIV/0!</v>
      </c>
      <c r="S514" t="str">
        <f t="shared" si="48"/>
        <v>Bom</v>
      </c>
    </row>
    <row r="515" spans="1:19" x14ac:dyDescent="0.3">
      <c r="A515" t="s">
        <v>537</v>
      </c>
      <c r="B515" t="s">
        <v>19</v>
      </c>
      <c r="C515" s="5">
        <f>VLOOKUP(A515,Dim!A:B,2,0)</f>
        <v>50</v>
      </c>
      <c r="D515" s="1">
        <v>0.25679999999999997</v>
      </c>
      <c r="E515" s="1">
        <v>0.2167</v>
      </c>
      <c r="F515">
        <v>0.59</v>
      </c>
      <c r="G515" s="2">
        <v>61916200</v>
      </c>
      <c r="H515" s="2">
        <v>1818</v>
      </c>
      <c r="I515">
        <v>1</v>
      </c>
      <c r="J515" s="3">
        <v>5008.88</v>
      </c>
      <c r="K515">
        <v>317.97000000000003</v>
      </c>
      <c r="L515" s="1">
        <v>6.3500000000000001E-2</v>
      </c>
      <c r="M515" s="1">
        <v>5.1200000000000002E-2</v>
      </c>
      <c r="N515" s="4">
        <f t="shared" si="49"/>
        <v>1.8058333333333332E-2</v>
      </c>
      <c r="O515" s="5">
        <f t="shared" si="50"/>
        <v>0.90291666666666659</v>
      </c>
      <c r="P515">
        <f t="shared" si="51"/>
        <v>57</v>
      </c>
      <c r="Q515" s="6">
        <f t="shared" si="52"/>
        <v>2850</v>
      </c>
      <c r="R515" s="6">
        <f t="shared" si="53"/>
        <v>51.466249999999995</v>
      </c>
      <c r="S515" t="str">
        <f t="shared" si="48"/>
        <v>Bom</v>
      </c>
    </row>
    <row r="516" spans="1:19" x14ac:dyDescent="0.3">
      <c r="A516" t="s">
        <v>498</v>
      </c>
      <c r="B516" t="s">
        <v>19</v>
      </c>
      <c r="C516" s="5">
        <f>VLOOKUP(A516,Dim!A:B,2,0)</f>
        <v>0</v>
      </c>
      <c r="D516" s="1">
        <v>0.1046</v>
      </c>
      <c r="E516" s="1">
        <v>0</v>
      </c>
      <c r="F516">
        <v>1.1399999999999999</v>
      </c>
      <c r="G516" s="2">
        <v>2710270000</v>
      </c>
      <c r="H516">
        <v>0</v>
      </c>
      <c r="I516">
        <v>1</v>
      </c>
      <c r="J516" s="3">
        <v>52387.3</v>
      </c>
      <c r="K516">
        <v>0</v>
      </c>
      <c r="L516" s="1">
        <v>0</v>
      </c>
      <c r="M516" s="1">
        <v>1.0002</v>
      </c>
      <c r="N516" s="4">
        <f t="shared" si="49"/>
        <v>0</v>
      </c>
      <c r="O516" s="5">
        <f t="shared" si="50"/>
        <v>0</v>
      </c>
      <c r="P516" t="e">
        <f t="shared" si="51"/>
        <v>#DIV/0!</v>
      </c>
      <c r="Q516" s="6" t="e">
        <f t="shared" si="52"/>
        <v>#DIV/0!</v>
      </c>
      <c r="R516" s="6" t="e">
        <f t="shared" si="53"/>
        <v>#DIV/0!</v>
      </c>
      <c r="S516" t="str">
        <f t="shared" si="48"/>
        <v>Bom</v>
      </c>
    </row>
    <row r="517" spans="1:19" x14ac:dyDescent="0.3">
      <c r="A517" t="s">
        <v>539</v>
      </c>
      <c r="B517" t="s">
        <v>14</v>
      </c>
      <c r="C517" s="5">
        <f>VLOOKUP(A517,Dim!A:B,2,0)</f>
        <v>84.08</v>
      </c>
      <c r="D517" s="1">
        <v>0.111</v>
      </c>
      <c r="E517" s="1">
        <v>0.12379999999999999</v>
      </c>
      <c r="F517">
        <v>0.96</v>
      </c>
      <c r="G517" s="2">
        <v>739197000</v>
      </c>
      <c r="H517" s="2">
        <v>2509580</v>
      </c>
      <c r="I517">
        <v>0</v>
      </c>
      <c r="J517">
        <v>0</v>
      </c>
      <c r="K517">
        <v>0</v>
      </c>
      <c r="L517" s="1">
        <v>0</v>
      </c>
      <c r="M517" s="1">
        <v>0</v>
      </c>
      <c r="N517" s="4">
        <f t="shared" si="49"/>
        <v>1.0316666666666667E-2</v>
      </c>
      <c r="O517" s="5">
        <f t="shared" si="50"/>
        <v>0.86742533333333327</v>
      </c>
      <c r="P517">
        <f t="shared" si="51"/>
        <v>98</v>
      </c>
      <c r="Q517" s="6">
        <f t="shared" si="52"/>
        <v>8239.84</v>
      </c>
      <c r="R517" s="6">
        <f t="shared" si="53"/>
        <v>85.007682666666653</v>
      </c>
      <c r="S517" t="str">
        <f t="shared" ref="S517:S528" si="54">IF(D517&gt;E517,"Bom",IF(D517=E517,"netro","Alerta"))</f>
        <v>Alerta</v>
      </c>
    </row>
    <row r="518" spans="1:19" x14ac:dyDescent="0.3">
      <c r="A518" t="s">
        <v>513</v>
      </c>
      <c r="B518" t="s">
        <v>23</v>
      </c>
      <c r="C518" s="5">
        <f>VLOOKUP(A518,Dim!A:B,2,0)</f>
        <v>0</v>
      </c>
      <c r="D518" s="1">
        <v>0.1166</v>
      </c>
      <c r="E518" s="1">
        <v>4.6800000000000001E-2</v>
      </c>
      <c r="F518">
        <v>0.94</v>
      </c>
      <c r="G518" s="2">
        <v>60911600</v>
      </c>
      <c r="H518">
        <v>0</v>
      </c>
      <c r="I518">
        <v>0</v>
      </c>
      <c r="J518">
        <v>0</v>
      </c>
      <c r="K518">
        <v>0</v>
      </c>
      <c r="L518" s="1">
        <v>0</v>
      </c>
      <c r="M518" s="1">
        <v>0</v>
      </c>
      <c r="N518" s="4">
        <f t="shared" si="49"/>
        <v>3.9000000000000003E-3</v>
      </c>
      <c r="O518" s="5">
        <f t="shared" si="50"/>
        <v>0</v>
      </c>
      <c r="P518" t="e">
        <f t="shared" si="51"/>
        <v>#DIV/0!</v>
      </c>
      <c r="Q518" s="6" t="e">
        <f t="shared" si="52"/>
        <v>#DIV/0!</v>
      </c>
      <c r="R518" s="6" t="e">
        <f t="shared" si="53"/>
        <v>#DIV/0!</v>
      </c>
      <c r="S518" t="str">
        <f t="shared" si="54"/>
        <v>Bom</v>
      </c>
    </row>
    <row r="519" spans="1:19" x14ac:dyDescent="0.3">
      <c r="A519" t="s">
        <v>519</v>
      </c>
      <c r="B519" t="s">
        <v>142</v>
      </c>
      <c r="C519" s="5">
        <f>VLOOKUP(A519,Dim!A:B,2,0)</f>
        <v>0</v>
      </c>
      <c r="D519" s="1">
        <v>6.7799999999999999E-2</v>
      </c>
      <c r="E519" s="1">
        <v>0</v>
      </c>
      <c r="F519">
        <v>0.88</v>
      </c>
      <c r="G519" s="2">
        <v>174913000</v>
      </c>
      <c r="H519">
        <v>0</v>
      </c>
      <c r="I519">
        <v>0</v>
      </c>
      <c r="J519">
        <v>0</v>
      </c>
      <c r="K519">
        <v>0</v>
      </c>
      <c r="L519" s="1">
        <v>0</v>
      </c>
      <c r="M519" s="1">
        <v>0</v>
      </c>
      <c r="N519" s="4">
        <f t="shared" si="49"/>
        <v>0</v>
      </c>
      <c r="O519" s="5">
        <f t="shared" si="50"/>
        <v>0</v>
      </c>
      <c r="P519" t="e">
        <f t="shared" si="51"/>
        <v>#DIV/0!</v>
      </c>
      <c r="Q519" s="6" t="e">
        <f t="shared" si="52"/>
        <v>#DIV/0!</v>
      </c>
      <c r="R519" s="6" t="e">
        <f t="shared" si="53"/>
        <v>#DIV/0!</v>
      </c>
      <c r="S519" t="str">
        <f t="shared" si="54"/>
        <v>Bom</v>
      </c>
    </row>
    <row r="520" spans="1:19" x14ac:dyDescent="0.3">
      <c r="A520" t="s">
        <v>542</v>
      </c>
      <c r="B520" t="s">
        <v>47</v>
      </c>
      <c r="C520" s="5">
        <f>VLOOKUP(A520,Dim!A:B,2,0)</f>
        <v>73.900000000000006</v>
      </c>
      <c r="D520" s="1">
        <v>7.8100000000000003E-2</v>
      </c>
      <c r="E520" s="1">
        <v>0.1192</v>
      </c>
      <c r="F520">
        <v>0.73</v>
      </c>
      <c r="G520" s="2">
        <v>529131000</v>
      </c>
      <c r="H520" s="2">
        <v>367786</v>
      </c>
      <c r="I520">
        <v>81</v>
      </c>
      <c r="J520" s="3">
        <v>2079.5</v>
      </c>
      <c r="K520">
        <v>246.51</v>
      </c>
      <c r="L520" s="1">
        <v>0.11849999999999999</v>
      </c>
      <c r="M520" s="1">
        <v>6.0100000000000001E-2</v>
      </c>
      <c r="N520" s="4">
        <f t="shared" si="49"/>
        <v>9.9333333333333339E-3</v>
      </c>
      <c r="O520" s="5">
        <f t="shared" si="50"/>
        <v>0.73407333333333347</v>
      </c>
      <c r="P520">
        <f t="shared" si="51"/>
        <v>102</v>
      </c>
      <c r="Q520" s="6">
        <f t="shared" si="52"/>
        <v>7537.8</v>
      </c>
      <c r="R520" s="6">
        <f t="shared" si="53"/>
        <v>74.87548000000001</v>
      </c>
      <c r="S520" t="str">
        <f t="shared" si="54"/>
        <v>Alerta</v>
      </c>
    </row>
    <row r="521" spans="1:19" x14ac:dyDescent="0.3">
      <c r="A521" t="s">
        <v>543</v>
      </c>
      <c r="B521" t="s">
        <v>47</v>
      </c>
      <c r="C521" s="5">
        <f>VLOOKUP(A521,Dim!A:B,2,0)</f>
        <v>100.8</v>
      </c>
      <c r="D521" s="1">
        <v>8.4500000000000006E-2</v>
      </c>
      <c r="E521" s="1">
        <v>9.4799999999999995E-2</v>
      </c>
      <c r="F521">
        <v>0.96</v>
      </c>
      <c r="G521" s="2">
        <v>3169350000</v>
      </c>
      <c r="H521" s="2">
        <v>3278160</v>
      </c>
      <c r="I521">
        <v>17</v>
      </c>
      <c r="J521" s="3">
        <v>3221.58</v>
      </c>
      <c r="K521">
        <v>280.24</v>
      </c>
      <c r="L521" s="1">
        <v>8.6999999999999994E-2</v>
      </c>
      <c r="M521" s="1">
        <v>1.34E-2</v>
      </c>
      <c r="N521" s="4">
        <f t="shared" si="49"/>
        <v>7.899999999999999E-3</v>
      </c>
      <c r="O521" s="5">
        <f t="shared" si="50"/>
        <v>0.79631999999999992</v>
      </c>
      <c r="P521">
        <f t="shared" si="51"/>
        <v>128</v>
      </c>
      <c r="Q521" s="6">
        <f t="shared" si="52"/>
        <v>12902.4</v>
      </c>
      <c r="R521" s="6">
        <f t="shared" si="53"/>
        <v>101.92895999999999</v>
      </c>
      <c r="S521" t="str">
        <f t="shared" si="54"/>
        <v>Alerta</v>
      </c>
    </row>
    <row r="522" spans="1:19" x14ac:dyDescent="0.3">
      <c r="A522" t="s">
        <v>544</v>
      </c>
      <c r="B522" t="s">
        <v>16</v>
      </c>
      <c r="C522" s="5">
        <f>VLOOKUP(A522,Dim!A:B,2,0)</f>
        <v>105.4</v>
      </c>
      <c r="D522" s="1">
        <v>9.64E-2</v>
      </c>
      <c r="E522" s="1">
        <v>0.10299999999999999</v>
      </c>
      <c r="F522">
        <v>0.94</v>
      </c>
      <c r="G522" s="2">
        <v>6022050000</v>
      </c>
      <c r="H522" s="2">
        <v>11378100</v>
      </c>
      <c r="I522">
        <v>20</v>
      </c>
      <c r="J522" s="3">
        <v>4751.26</v>
      </c>
      <c r="K522">
        <v>480.74</v>
      </c>
      <c r="L522" s="1">
        <v>0.1012</v>
      </c>
      <c r="M522" s="1">
        <v>8.6699999999999999E-2</v>
      </c>
      <c r="N522" s="4">
        <f t="shared" si="49"/>
        <v>8.5833333333333334E-3</v>
      </c>
      <c r="O522" s="5">
        <f t="shared" si="50"/>
        <v>0.90468333333333339</v>
      </c>
      <c r="P522">
        <f t="shared" si="51"/>
        <v>118</v>
      </c>
      <c r="Q522" s="6">
        <f t="shared" si="52"/>
        <v>12437.2</v>
      </c>
      <c r="R522" s="6">
        <f t="shared" si="53"/>
        <v>106.75263333333334</v>
      </c>
      <c r="S522" t="str">
        <f t="shared" si="54"/>
        <v>Alerta</v>
      </c>
    </row>
    <row r="523" spans="1:19" x14ac:dyDescent="0.3">
      <c r="A523" t="s">
        <v>524</v>
      </c>
      <c r="B523" t="s">
        <v>23</v>
      </c>
      <c r="C523" s="5">
        <f>VLOOKUP(A523,Dim!A:B,2,0)</f>
        <v>0</v>
      </c>
      <c r="D523" s="1">
        <v>7.0084</v>
      </c>
      <c r="E523" s="1">
        <v>0</v>
      </c>
      <c r="F523">
        <v>7.0000000000000007E-2</v>
      </c>
      <c r="G523" s="2">
        <v>13174</v>
      </c>
      <c r="H523">
        <v>0</v>
      </c>
      <c r="I523">
        <v>0</v>
      </c>
      <c r="J523">
        <v>0</v>
      </c>
      <c r="K523">
        <v>0</v>
      </c>
      <c r="L523" s="1">
        <v>0</v>
      </c>
      <c r="M523" s="1">
        <v>0</v>
      </c>
      <c r="N523" s="4">
        <f t="shared" si="49"/>
        <v>0</v>
      </c>
      <c r="O523" s="5">
        <f t="shared" si="50"/>
        <v>0</v>
      </c>
      <c r="P523" t="e">
        <f t="shared" si="51"/>
        <v>#DIV/0!</v>
      </c>
      <c r="Q523" s="6" t="e">
        <f t="shared" si="52"/>
        <v>#DIV/0!</v>
      </c>
      <c r="R523" s="6" t="e">
        <f t="shared" si="53"/>
        <v>#DIV/0!</v>
      </c>
      <c r="S523" t="str">
        <f t="shared" si="54"/>
        <v>Bom</v>
      </c>
    </row>
    <row r="524" spans="1:19" x14ac:dyDescent="0.3">
      <c r="A524" t="s">
        <v>531</v>
      </c>
      <c r="B524" t="s">
        <v>81</v>
      </c>
      <c r="C524" s="5">
        <f>VLOOKUP(A524,Dim!A:B,2,0)</f>
        <v>0</v>
      </c>
      <c r="D524" s="1">
        <v>8.9899999999999994E-2</v>
      </c>
      <c r="E524" s="1">
        <v>0</v>
      </c>
      <c r="F524">
        <v>1.04</v>
      </c>
      <c r="G524" s="2">
        <v>234036000</v>
      </c>
      <c r="H524">
        <v>0</v>
      </c>
      <c r="I524">
        <v>6</v>
      </c>
      <c r="J524" s="3">
        <v>5334.39</v>
      </c>
      <c r="K524">
        <v>526.70000000000005</v>
      </c>
      <c r="L524" s="1">
        <v>9.8699999999999996E-2</v>
      </c>
      <c r="M524" s="1">
        <v>0</v>
      </c>
      <c r="N524" s="4">
        <f t="shared" si="49"/>
        <v>0</v>
      </c>
      <c r="O524" s="5">
        <f t="shared" si="50"/>
        <v>0</v>
      </c>
      <c r="P524" t="e">
        <f t="shared" si="51"/>
        <v>#DIV/0!</v>
      </c>
      <c r="Q524" s="6" t="e">
        <f t="shared" si="52"/>
        <v>#DIV/0!</v>
      </c>
      <c r="R524" s="6" t="e">
        <f t="shared" si="53"/>
        <v>#DIV/0!</v>
      </c>
      <c r="S524" t="str">
        <f t="shared" si="54"/>
        <v>Bom</v>
      </c>
    </row>
    <row r="525" spans="1:19" x14ac:dyDescent="0.3">
      <c r="A525" t="s">
        <v>541</v>
      </c>
      <c r="B525" t="s">
        <v>91</v>
      </c>
      <c r="C525" s="5">
        <f>VLOOKUP(A525,Dim!A:B,2,0)</f>
        <v>0</v>
      </c>
      <c r="D525" s="1">
        <v>3.0700000000000002E-2</v>
      </c>
      <c r="E525" s="1">
        <v>0</v>
      </c>
      <c r="F525">
        <v>1.78</v>
      </c>
      <c r="G525" s="2">
        <v>1133880000</v>
      </c>
      <c r="H525">
        <v>0</v>
      </c>
      <c r="I525">
        <v>14</v>
      </c>
      <c r="J525" s="3">
        <v>19789.3</v>
      </c>
      <c r="K525">
        <v>692.37</v>
      </c>
      <c r="L525" s="1">
        <v>3.5000000000000003E-2</v>
      </c>
      <c r="M525" s="1">
        <v>0</v>
      </c>
      <c r="N525" s="4">
        <f t="shared" si="49"/>
        <v>0</v>
      </c>
      <c r="O525" s="5">
        <f t="shared" si="50"/>
        <v>0</v>
      </c>
      <c r="P525" t="e">
        <f t="shared" si="51"/>
        <v>#DIV/0!</v>
      </c>
      <c r="Q525" s="6" t="e">
        <f t="shared" si="52"/>
        <v>#DIV/0!</v>
      </c>
      <c r="R525" s="6" t="e">
        <f t="shared" si="53"/>
        <v>#DIV/0!</v>
      </c>
      <c r="S525" t="str">
        <f t="shared" si="54"/>
        <v>Bom</v>
      </c>
    </row>
    <row r="526" spans="1:19" x14ac:dyDescent="0.3">
      <c r="A526" t="s">
        <v>545</v>
      </c>
      <c r="B526" t="s">
        <v>28</v>
      </c>
      <c r="C526" s="5">
        <f>VLOOKUP(A526,Dim!A:B,2,0)</f>
        <v>0</v>
      </c>
      <c r="D526" s="1">
        <v>3.7000000000000002E-3</v>
      </c>
      <c r="E526" s="1">
        <v>1.67E-2</v>
      </c>
      <c r="F526">
        <v>0.32</v>
      </c>
      <c r="G526" s="2">
        <v>91744800</v>
      </c>
      <c r="H526">
        <v>0</v>
      </c>
      <c r="I526">
        <v>2</v>
      </c>
      <c r="J526" s="3">
        <v>2560.0100000000002</v>
      </c>
      <c r="K526">
        <v>377.47</v>
      </c>
      <c r="L526" s="1">
        <v>0.1474</v>
      </c>
      <c r="M526" s="1">
        <v>0.43940000000000001</v>
      </c>
      <c r="N526" s="4">
        <f t="shared" si="49"/>
        <v>1.3916666666666667E-3</v>
      </c>
      <c r="O526" s="5">
        <f t="shared" si="50"/>
        <v>0</v>
      </c>
      <c r="P526" t="e">
        <f t="shared" si="51"/>
        <v>#DIV/0!</v>
      </c>
      <c r="Q526" s="6" t="e">
        <f t="shared" si="52"/>
        <v>#DIV/0!</v>
      </c>
      <c r="R526" s="6" t="e">
        <f t="shared" si="53"/>
        <v>#DIV/0!</v>
      </c>
      <c r="S526" t="str">
        <f t="shared" si="54"/>
        <v>Alerta</v>
      </c>
    </row>
    <row r="527" spans="1:19" x14ac:dyDescent="0.3">
      <c r="A527" t="s">
        <v>549</v>
      </c>
      <c r="B527" t="s">
        <v>37</v>
      </c>
      <c r="C527" s="5">
        <f>VLOOKUP(A527,Dim!A:B,2,0)</f>
        <v>59.5</v>
      </c>
      <c r="D527" s="1">
        <v>1.41E-2</v>
      </c>
      <c r="E527" s="1">
        <v>2.4199999999999999E-2</v>
      </c>
      <c r="F527">
        <v>1.3</v>
      </c>
      <c r="G527" s="2">
        <v>29312700</v>
      </c>
      <c r="H527">
        <v>0</v>
      </c>
      <c r="I527">
        <v>12</v>
      </c>
      <c r="J527" s="3">
        <v>1127.04</v>
      </c>
      <c r="K527">
        <v>270.98</v>
      </c>
      <c r="L527" s="1">
        <v>0.2404</v>
      </c>
      <c r="M527" s="1">
        <v>0</v>
      </c>
      <c r="N527" s="4">
        <f t="shared" si="49"/>
        <v>2.0166666666666666E-3</v>
      </c>
      <c r="O527" s="5">
        <f t="shared" si="50"/>
        <v>0.11999166666666666</v>
      </c>
      <c r="P527">
        <f t="shared" si="51"/>
        <v>497</v>
      </c>
      <c r="Q527" s="6">
        <f t="shared" si="52"/>
        <v>29571.5</v>
      </c>
      <c r="R527" s="6">
        <f t="shared" si="53"/>
        <v>59.635858333333331</v>
      </c>
      <c r="S527" t="str">
        <f t="shared" si="54"/>
        <v>Alerta</v>
      </c>
    </row>
    <row r="528" spans="1:19" x14ac:dyDescent="0.3">
      <c r="A528" t="s">
        <v>547</v>
      </c>
      <c r="B528" t="s">
        <v>14</v>
      </c>
      <c r="C528" s="5">
        <f>VLOOKUP(A528,Dim!A:B,2,0)</f>
        <v>0</v>
      </c>
      <c r="D528" s="1">
        <v>9.9599999999999994E-2</v>
      </c>
      <c r="E528" s="1">
        <v>0</v>
      </c>
      <c r="F528">
        <v>0.6</v>
      </c>
      <c r="G528" s="2">
        <v>87318000</v>
      </c>
      <c r="H528">
        <v>0</v>
      </c>
      <c r="I528">
        <v>4</v>
      </c>
      <c r="J528" s="3">
        <v>3658.18</v>
      </c>
      <c r="K528">
        <v>440.02</v>
      </c>
      <c r="L528" s="1">
        <v>0.1203</v>
      </c>
      <c r="M528" s="1">
        <v>0</v>
      </c>
      <c r="N528" s="4">
        <f t="shared" si="49"/>
        <v>0</v>
      </c>
      <c r="O528" s="5">
        <f t="shared" si="50"/>
        <v>0</v>
      </c>
      <c r="P528" t="e">
        <f t="shared" si="51"/>
        <v>#DIV/0!</v>
      </c>
      <c r="Q528" s="6" t="e">
        <f t="shared" si="52"/>
        <v>#DIV/0!</v>
      </c>
      <c r="R528" s="6" t="e">
        <f t="shared" si="53"/>
        <v>#DIV/0!</v>
      </c>
      <c r="S528" t="str">
        <f t="shared" si="54"/>
        <v>Bom</v>
      </c>
    </row>
    <row r="529" spans="1:19" x14ac:dyDescent="0.3">
      <c r="A529" t="s">
        <v>548</v>
      </c>
      <c r="B529" t="s">
        <v>14</v>
      </c>
      <c r="C529" s="5">
        <f>VLOOKUP(A529,Dim!A:B,2,0)</f>
        <v>0</v>
      </c>
      <c r="D529" s="1">
        <v>-5.2900000000000003E-2</v>
      </c>
      <c r="E529" s="1">
        <v>0</v>
      </c>
      <c r="F529">
        <v>9.89</v>
      </c>
      <c r="G529" s="2">
        <v>4235040000</v>
      </c>
      <c r="H529">
        <v>0</v>
      </c>
      <c r="I529">
        <v>12</v>
      </c>
      <c r="J529" s="3">
        <v>12634.4</v>
      </c>
      <c r="K529">
        <v>99.19</v>
      </c>
      <c r="L529" s="1">
        <v>7.9000000000000008E-3</v>
      </c>
      <c r="M529" s="1">
        <v>0</v>
      </c>
      <c r="N529" s="4">
        <f t="shared" si="49"/>
        <v>0</v>
      </c>
      <c r="O529" s="5">
        <f t="shared" si="50"/>
        <v>0</v>
      </c>
      <c r="P529" t="e">
        <f t="shared" si="51"/>
        <v>#DIV/0!</v>
      </c>
      <c r="Q529" s="6" t="e">
        <f t="shared" si="52"/>
        <v>#DIV/0!</v>
      </c>
      <c r="R529" s="6" t="e">
        <f t="shared" si="53"/>
        <v>#DIV/0!</v>
      </c>
      <c r="S529" t="str">
        <f t="shared" ref="S529:S531" si="55">IF(D529&gt;E529,"Bom",IF(D529=E529,"netro","Alerta"))</f>
        <v>Alerta</v>
      </c>
    </row>
    <row r="530" spans="1:19" x14ac:dyDescent="0.3">
      <c r="A530" t="s">
        <v>552</v>
      </c>
      <c r="B530" t="s">
        <v>19</v>
      </c>
      <c r="C530" s="5">
        <f>VLOOKUP(A530,Dim!A:B,2,0)</f>
        <v>89.89</v>
      </c>
      <c r="D530" s="1">
        <v>0.18529999999999999</v>
      </c>
      <c r="E530" s="1">
        <v>0.15290000000000001</v>
      </c>
      <c r="F530">
        <v>0.63</v>
      </c>
      <c r="G530" s="2">
        <v>101727000</v>
      </c>
      <c r="H530" s="2">
        <v>38399</v>
      </c>
      <c r="I530">
        <v>9</v>
      </c>
      <c r="J530" s="3">
        <v>1367.4</v>
      </c>
      <c r="K530">
        <v>223.73</v>
      </c>
      <c r="L530" s="1">
        <v>0.1636</v>
      </c>
      <c r="M530" s="1">
        <v>8.3000000000000001E-3</v>
      </c>
      <c r="N530" s="4">
        <f t="shared" ref="N530" si="56">E530/12</f>
        <v>1.2741666666666667E-2</v>
      </c>
      <c r="O530" s="5">
        <f t="shared" ref="O530" si="57">N530*C530</f>
        <v>1.1453484166666668</v>
      </c>
      <c r="P530">
        <f t="shared" ref="P530" si="58">ROUNDUP((C530/O530),0)+1</f>
        <v>80</v>
      </c>
      <c r="Q530" s="6">
        <f t="shared" ref="Q530" si="59">P530*C530</f>
        <v>7191.2</v>
      </c>
      <c r="R530" s="6">
        <f t="shared" ref="R530" si="60">P530*O530</f>
        <v>91.627873333333341</v>
      </c>
      <c r="S530" t="str">
        <f t="shared" si="55"/>
        <v>Bom</v>
      </c>
    </row>
    <row r="531" spans="1:19" x14ac:dyDescent="0.3">
      <c r="A531" t="s">
        <v>553</v>
      </c>
      <c r="B531" t="s">
        <v>14</v>
      </c>
      <c r="C531" s="5">
        <f>VLOOKUP(A531,Dim!A:B,2,0)</f>
        <v>520</v>
      </c>
      <c r="D531" s="1">
        <v>-1.5800000000000002E-2</v>
      </c>
      <c r="E531" s="1">
        <v>0</v>
      </c>
      <c r="F531">
        <v>0.28999999999999998</v>
      </c>
      <c r="G531" s="2">
        <v>24692200</v>
      </c>
      <c r="H531" s="2">
        <v>4736</v>
      </c>
      <c r="I531">
        <v>0</v>
      </c>
      <c r="J531">
        <v>0</v>
      </c>
      <c r="K531">
        <v>0</v>
      </c>
      <c r="L531" s="1">
        <v>0</v>
      </c>
      <c r="M531" s="1">
        <v>0</v>
      </c>
      <c r="N531" s="4">
        <f t="shared" ref="N531" si="61">E531/12</f>
        <v>0</v>
      </c>
      <c r="O531" s="5">
        <f t="shared" ref="O531" si="62">N531*C531</f>
        <v>0</v>
      </c>
      <c r="P531" t="e">
        <f t="shared" ref="P531" si="63">ROUNDUP((C531/O531),0)+1</f>
        <v>#DIV/0!</v>
      </c>
      <c r="Q531" s="6" t="e">
        <f t="shared" ref="Q531" si="64">P531*C531</f>
        <v>#DIV/0!</v>
      </c>
      <c r="R531" s="6" t="e">
        <f t="shared" ref="R531" si="65">P531*O531</f>
        <v>#DIV/0!</v>
      </c>
      <c r="S531" t="str">
        <f t="shared" si="55"/>
        <v>Alerta</v>
      </c>
    </row>
  </sheetData>
  <autoFilter ref="A1:S531" xr:uid="{94B98634-3C44-4E55-82FB-5EBA1C26B06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123C-3F7D-4577-A233-9C5B558942C8}">
  <dimension ref="A1:E1526"/>
  <sheetViews>
    <sheetView showGridLines="0" topLeftCell="B36" zoomScale="85" zoomScaleNormal="85" workbookViewId="0">
      <selection activeCell="E50" sqref="E50"/>
    </sheetView>
  </sheetViews>
  <sheetFormatPr defaultRowHeight="14.4" x14ac:dyDescent="0.3"/>
  <cols>
    <col min="1" max="2" width="11.33203125" bestFit="1" customWidth="1"/>
    <col min="4" max="4" width="24.33203125" bestFit="1" customWidth="1"/>
    <col min="5" max="5" width="197.44140625" bestFit="1" customWidth="1"/>
    <col min="6" max="6" width="17.88671875" customWidth="1"/>
  </cols>
  <sheetData>
    <row r="1" spans="1:5" ht="15" thickBot="1" x14ac:dyDescent="0.35">
      <c r="A1" t="s">
        <v>559</v>
      </c>
      <c r="B1" t="s">
        <v>560</v>
      </c>
    </row>
    <row r="2" spans="1:5" ht="18.600000000000001" thickBot="1" x14ac:dyDescent="0.4">
      <c r="A2" t="s">
        <v>13</v>
      </c>
      <c r="B2">
        <v>7.69</v>
      </c>
      <c r="D2" s="10" t="s">
        <v>578</v>
      </c>
      <c r="E2" s="11" t="s">
        <v>579</v>
      </c>
    </row>
    <row r="3" spans="1:5" ht="18" x14ac:dyDescent="0.35">
      <c r="A3" t="s">
        <v>15</v>
      </c>
      <c r="B3">
        <v>74.92</v>
      </c>
      <c r="D3" s="12" t="s">
        <v>0</v>
      </c>
      <c r="E3" s="13" t="s">
        <v>561</v>
      </c>
    </row>
    <row r="4" spans="1:5" ht="18" x14ac:dyDescent="0.35">
      <c r="A4" t="s">
        <v>17</v>
      </c>
      <c r="D4" s="14" t="s">
        <v>1</v>
      </c>
      <c r="E4" s="15" t="s">
        <v>562</v>
      </c>
    </row>
    <row r="5" spans="1:5" ht="18" x14ac:dyDescent="0.35">
      <c r="A5" t="s">
        <v>18</v>
      </c>
      <c r="D5" s="16" t="s">
        <v>2</v>
      </c>
      <c r="E5" s="15" t="s">
        <v>563</v>
      </c>
    </row>
    <row r="6" spans="1:5" ht="18" x14ac:dyDescent="0.35">
      <c r="A6" t="s">
        <v>20</v>
      </c>
      <c r="B6">
        <v>10.06</v>
      </c>
      <c r="D6" s="14" t="s">
        <v>3</v>
      </c>
      <c r="E6" s="15" t="s">
        <v>564</v>
      </c>
    </row>
    <row r="7" spans="1:5" ht="18" x14ac:dyDescent="0.35">
      <c r="A7" t="s">
        <v>21</v>
      </c>
      <c r="B7">
        <v>94.82</v>
      </c>
      <c r="D7" s="14" t="s">
        <v>4</v>
      </c>
      <c r="E7" s="15" t="s">
        <v>565</v>
      </c>
    </row>
    <row r="8" spans="1:5" ht="18" x14ac:dyDescent="0.35">
      <c r="A8" t="s">
        <v>22</v>
      </c>
      <c r="D8" s="14" t="s">
        <v>5</v>
      </c>
      <c r="E8" s="15" t="s">
        <v>566</v>
      </c>
    </row>
    <row r="9" spans="1:5" ht="18" x14ac:dyDescent="0.35">
      <c r="A9" t="s">
        <v>24</v>
      </c>
      <c r="D9" s="14" t="s">
        <v>6</v>
      </c>
      <c r="E9" s="15" t="s">
        <v>567</v>
      </c>
    </row>
    <row r="10" spans="1:5" ht="18" x14ac:dyDescent="0.35">
      <c r="A10" t="s">
        <v>26</v>
      </c>
      <c r="B10">
        <v>8.14</v>
      </c>
      <c r="D10" s="14" t="s">
        <v>7</v>
      </c>
      <c r="E10" s="15" t="s">
        <v>568</v>
      </c>
    </row>
    <row r="11" spans="1:5" ht="18" x14ac:dyDescent="0.35">
      <c r="A11" t="s">
        <v>27</v>
      </c>
      <c r="B11">
        <v>53.15</v>
      </c>
      <c r="D11" s="14" t="s">
        <v>8</v>
      </c>
      <c r="E11" s="15" t="s">
        <v>569</v>
      </c>
    </row>
    <row r="12" spans="1:5" ht="18" x14ac:dyDescent="0.35">
      <c r="A12" t="s">
        <v>29</v>
      </c>
      <c r="B12">
        <v>7.67</v>
      </c>
      <c r="D12" s="14" t="s">
        <v>9</v>
      </c>
      <c r="E12" s="15" t="s">
        <v>570</v>
      </c>
    </row>
    <row r="13" spans="1:5" ht="18" x14ac:dyDescent="0.35">
      <c r="A13" t="s">
        <v>30</v>
      </c>
      <c r="B13">
        <v>620</v>
      </c>
      <c r="D13" s="14" t="s">
        <v>10</v>
      </c>
      <c r="E13" s="15" t="s">
        <v>571</v>
      </c>
    </row>
    <row r="14" spans="1:5" ht="18" x14ac:dyDescent="0.35">
      <c r="A14" t="s">
        <v>31</v>
      </c>
      <c r="B14">
        <v>7.54</v>
      </c>
      <c r="D14" s="14" t="s">
        <v>11</v>
      </c>
      <c r="E14" s="15" t="s">
        <v>572</v>
      </c>
    </row>
    <row r="15" spans="1:5" ht="18" x14ac:dyDescent="0.35">
      <c r="A15" t="s">
        <v>32</v>
      </c>
      <c r="D15" s="14" t="s">
        <v>12</v>
      </c>
      <c r="E15" s="15" t="s">
        <v>573</v>
      </c>
    </row>
    <row r="16" spans="1:5" ht="18" x14ac:dyDescent="0.35">
      <c r="A16" t="s">
        <v>33</v>
      </c>
      <c r="B16">
        <v>10.52</v>
      </c>
      <c r="D16" s="17" t="s">
        <v>554</v>
      </c>
      <c r="E16" s="15" t="s">
        <v>574</v>
      </c>
    </row>
    <row r="17" spans="1:5" ht="18" x14ac:dyDescent="0.35">
      <c r="A17" t="s">
        <v>34</v>
      </c>
      <c r="D17" s="18" t="s">
        <v>555</v>
      </c>
      <c r="E17" s="15" t="s">
        <v>575</v>
      </c>
    </row>
    <row r="18" spans="1:5" ht="18" x14ac:dyDescent="0.35">
      <c r="A18" t="s">
        <v>35</v>
      </c>
      <c r="B18">
        <v>249.3</v>
      </c>
      <c r="D18" s="19" t="s">
        <v>556</v>
      </c>
      <c r="E18" s="15" t="s">
        <v>576</v>
      </c>
    </row>
    <row r="19" spans="1:5" ht="18" x14ac:dyDescent="0.35">
      <c r="A19" t="s">
        <v>36</v>
      </c>
      <c r="B19">
        <v>8.4</v>
      </c>
      <c r="D19" s="19" t="s">
        <v>557</v>
      </c>
      <c r="E19" s="15" t="s">
        <v>577</v>
      </c>
    </row>
    <row r="20" spans="1:5" ht="18" x14ac:dyDescent="0.35">
      <c r="A20" t="s">
        <v>38</v>
      </c>
      <c r="B20">
        <v>75.489999999999995</v>
      </c>
      <c r="D20" s="19" t="s">
        <v>558</v>
      </c>
      <c r="E20" s="15" t="s">
        <v>582</v>
      </c>
    </row>
    <row r="21" spans="1:5" x14ac:dyDescent="0.3">
      <c r="A21" t="s">
        <v>39</v>
      </c>
    </row>
    <row r="22" spans="1:5" x14ac:dyDescent="0.3">
      <c r="A22" t="s">
        <v>40</v>
      </c>
      <c r="B22">
        <v>1.03</v>
      </c>
    </row>
    <row r="23" spans="1:5" ht="15" thickBot="1" x14ac:dyDescent="0.35">
      <c r="A23" t="s">
        <v>41</v>
      </c>
      <c r="B23">
        <v>6.58</v>
      </c>
    </row>
    <row r="24" spans="1:5" ht="18.600000000000001" thickBot="1" x14ac:dyDescent="0.4">
      <c r="A24" t="s">
        <v>42</v>
      </c>
      <c r="B24">
        <v>7.52</v>
      </c>
      <c r="D24" s="10" t="s">
        <v>1593</v>
      </c>
      <c r="E24" s="15" t="s">
        <v>579</v>
      </c>
    </row>
    <row r="25" spans="1:5" ht="18" x14ac:dyDescent="0.35">
      <c r="A25" t="s">
        <v>43</v>
      </c>
      <c r="D25" s="12" t="s">
        <v>0</v>
      </c>
      <c r="E25" s="15" t="s">
        <v>1594</v>
      </c>
    </row>
    <row r="26" spans="1:5" ht="18" x14ac:dyDescent="0.35">
      <c r="A26" t="s">
        <v>44</v>
      </c>
      <c r="B26">
        <v>10912.03</v>
      </c>
      <c r="D26" s="14" t="s">
        <v>2</v>
      </c>
      <c r="E26" s="15" t="s">
        <v>1595</v>
      </c>
    </row>
    <row r="27" spans="1:5" ht="18" x14ac:dyDescent="0.35">
      <c r="A27" t="s">
        <v>45</v>
      </c>
      <c r="B27">
        <v>51</v>
      </c>
      <c r="D27" s="16" t="s">
        <v>583</v>
      </c>
      <c r="E27" s="15" t="s">
        <v>1596</v>
      </c>
    </row>
    <row r="28" spans="1:5" ht="18" x14ac:dyDescent="0.35">
      <c r="A28" t="s">
        <v>46</v>
      </c>
      <c r="B28">
        <v>81</v>
      </c>
      <c r="D28" s="14" t="s">
        <v>5</v>
      </c>
      <c r="E28" s="15" t="s">
        <v>1597</v>
      </c>
    </row>
    <row r="29" spans="1:5" ht="18" x14ac:dyDescent="0.35">
      <c r="A29" t="s">
        <v>48</v>
      </c>
      <c r="B29">
        <v>7.65</v>
      </c>
      <c r="D29" s="14" t="s">
        <v>584</v>
      </c>
      <c r="E29" s="15" t="s">
        <v>1598</v>
      </c>
    </row>
    <row r="30" spans="1:5" ht="18" x14ac:dyDescent="0.35">
      <c r="A30" t="s">
        <v>49</v>
      </c>
      <c r="D30" s="14" t="s">
        <v>585</v>
      </c>
      <c r="E30" s="15" t="s">
        <v>1599</v>
      </c>
    </row>
    <row r="31" spans="1:5" ht="18" x14ac:dyDescent="0.35">
      <c r="A31" t="s">
        <v>50</v>
      </c>
      <c r="B31">
        <v>365</v>
      </c>
      <c r="D31" s="14" t="s">
        <v>586</v>
      </c>
      <c r="E31" s="15" t="s">
        <v>1600</v>
      </c>
    </row>
    <row r="32" spans="1:5" ht="18" x14ac:dyDescent="0.35">
      <c r="A32" t="s">
        <v>51</v>
      </c>
      <c r="B32">
        <v>62.62</v>
      </c>
      <c r="D32" s="14" t="s">
        <v>587</v>
      </c>
      <c r="E32" s="15" t="s">
        <v>1601</v>
      </c>
    </row>
    <row r="33" spans="1:5" ht="18" x14ac:dyDescent="0.35">
      <c r="A33" t="s">
        <v>52</v>
      </c>
      <c r="B33">
        <v>63.7</v>
      </c>
      <c r="D33" s="14" t="s">
        <v>588</v>
      </c>
      <c r="E33" s="15" t="s">
        <v>1602</v>
      </c>
    </row>
    <row r="34" spans="1:5" ht="18" x14ac:dyDescent="0.35">
      <c r="A34" t="s">
        <v>53</v>
      </c>
      <c r="B34">
        <v>6.98</v>
      </c>
      <c r="D34" s="14" t="s">
        <v>589</v>
      </c>
      <c r="E34" s="15" t="s">
        <v>1603</v>
      </c>
    </row>
    <row r="35" spans="1:5" ht="18" x14ac:dyDescent="0.35">
      <c r="A35" t="s">
        <v>54</v>
      </c>
      <c r="D35" s="14" t="s">
        <v>590</v>
      </c>
      <c r="E35" s="15" t="s">
        <v>1604</v>
      </c>
    </row>
    <row r="36" spans="1:5" ht="18" x14ac:dyDescent="0.35">
      <c r="A36" t="s">
        <v>55</v>
      </c>
      <c r="B36">
        <v>97.4</v>
      </c>
      <c r="D36" s="14" t="s">
        <v>591</v>
      </c>
      <c r="E36" s="15" t="s">
        <v>1605</v>
      </c>
    </row>
    <row r="37" spans="1:5" ht="18.600000000000001" thickBot="1" x14ac:dyDescent="0.4">
      <c r="A37" t="s">
        <v>56</v>
      </c>
      <c r="D37" s="14" t="s">
        <v>592</v>
      </c>
      <c r="E37" s="15" t="s">
        <v>1606</v>
      </c>
    </row>
    <row r="38" spans="1:5" ht="18.600000000000001" thickBot="1" x14ac:dyDescent="0.4">
      <c r="A38" t="s">
        <v>57</v>
      </c>
      <c r="D38" s="10" t="s">
        <v>593</v>
      </c>
      <c r="E38" s="15" t="s">
        <v>1607</v>
      </c>
    </row>
    <row r="39" spans="1:5" ht="18" x14ac:dyDescent="0.35">
      <c r="A39" t="s">
        <v>58</v>
      </c>
      <c r="B39">
        <v>84.27</v>
      </c>
      <c r="D39" s="12" t="s">
        <v>594</v>
      </c>
      <c r="E39" s="15" t="s">
        <v>1608</v>
      </c>
    </row>
    <row r="40" spans="1:5" ht="18" x14ac:dyDescent="0.35">
      <c r="A40" t="s">
        <v>59</v>
      </c>
      <c r="B40">
        <v>63.57</v>
      </c>
      <c r="D40" s="14" t="s">
        <v>595</v>
      </c>
      <c r="E40" s="15" t="s">
        <v>1609</v>
      </c>
    </row>
    <row r="41" spans="1:5" ht="18" x14ac:dyDescent="0.35">
      <c r="A41" t="s">
        <v>60</v>
      </c>
      <c r="B41">
        <v>102.06</v>
      </c>
      <c r="D41" s="16" t="s">
        <v>596</v>
      </c>
      <c r="E41" s="15" t="s">
        <v>1610</v>
      </c>
    </row>
    <row r="42" spans="1:5" ht="18" x14ac:dyDescent="0.35">
      <c r="A42" t="s">
        <v>61</v>
      </c>
      <c r="B42">
        <v>888.25</v>
      </c>
      <c r="D42" s="14" t="s">
        <v>597</v>
      </c>
      <c r="E42" s="15" t="s">
        <v>1611</v>
      </c>
    </row>
    <row r="43" spans="1:5" ht="18" x14ac:dyDescent="0.35">
      <c r="A43" t="s">
        <v>62</v>
      </c>
      <c r="D43" s="14" t="s">
        <v>598</v>
      </c>
      <c r="E43" s="15" t="s">
        <v>1612</v>
      </c>
    </row>
    <row r="44" spans="1:5" ht="18" x14ac:dyDescent="0.35">
      <c r="A44" t="s">
        <v>63</v>
      </c>
      <c r="B44">
        <v>6.73</v>
      </c>
      <c r="D44" s="14" t="s">
        <v>1613</v>
      </c>
      <c r="E44" s="15" t="s">
        <v>1614</v>
      </c>
    </row>
    <row r="45" spans="1:5" ht="18" x14ac:dyDescent="0.35">
      <c r="A45" t="s">
        <v>64</v>
      </c>
      <c r="B45">
        <v>1000</v>
      </c>
      <c r="D45" s="14" t="s">
        <v>600</v>
      </c>
      <c r="E45" s="15" t="s">
        <v>1615</v>
      </c>
    </row>
    <row r="46" spans="1:5" ht="18" x14ac:dyDescent="0.35">
      <c r="A46" t="s">
        <v>65</v>
      </c>
      <c r="B46">
        <v>90.72</v>
      </c>
      <c r="D46" s="19" t="s">
        <v>554</v>
      </c>
      <c r="E46" s="15" t="s">
        <v>574</v>
      </c>
    </row>
    <row r="47" spans="1:5" ht="18" x14ac:dyDescent="0.35">
      <c r="A47" t="s">
        <v>66</v>
      </c>
      <c r="D47" s="19" t="s">
        <v>555</v>
      </c>
      <c r="E47" s="15" t="s">
        <v>575</v>
      </c>
    </row>
    <row r="48" spans="1:5" ht="18" x14ac:dyDescent="0.35">
      <c r="A48" t="s">
        <v>67</v>
      </c>
      <c r="D48" s="19" t="s">
        <v>1616</v>
      </c>
      <c r="E48" s="15" t="s">
        <v>576</v>
      </c>
    </row>
    <row r="49" spans="1:5" ht="18" x14ac:dyDescent="0.35">
      <c r="A49" t="s">
        <v>68</v>
      </c>
      <c r="B49">
        <v>33</v>
      </c>
      <c r="D49" s="19" t="s">
        <v>557</v>
      </c>
      <c r="E49" s="15" t="s">
        <v>577</v>
      </c>
    </row>
    <row r="50" spans="1:5" ht="18" x14ac:dyDescent="0.35">
      <c r="A50" t="s">
        <v>69</v>
      </c>
      <c r="B50">
        <v>88.99</v>
      </c>
      <c r="D50" s="19" t="s">
        <v>558</v>
      </c>
      <c r="E50" s="15" t="s">
        <v>582</v>
      </c>
    </row>
    <row r="51" spans="1:5" x14ac:dyDescent="0.3">
      <c r="A51" t="s">
        <v>70</v>
      </c>
    </row>
    <row r="52" spans="1:5" x14ac:dyDescent="0.3">
      <c r="A52" t="s">
        <v>71</v>
      </c>
      <c r="B52">
        <v>9.4700000000000006</v>
      </c>
    </row>
    <row r="53" spans="1:5" x14ac:dyDescent="0.3">
      <c r="A53" t="s">
        <v>72</v>
      </c>
    </row>
    <row r="54" spans="1:5" x14ac:dyDescent="0.3">
      <c r="A54" t="s">
        <v>73</v>
      </c>
      <c r="B54">
        <v>93.45</v>
      </c>
    </row>
    <row r="55" spans="1:5" x14ac:dyDescent="0.3">
      <c r="A55" t="s">
        <v>74</v>
      </c>
      <c r="B55">
        <v>74</v>
      </c>
    </row>
    <row r="56" spans="1:5" x14ac:dyDescent="0.3">
      <c r="A56" t="s">
        <v>75</v>
      </c>
      <c r="B56">
        <v>54.52</v>
      </c>
    </row>
    <row r="57" spans="1:5" x14ac:dyDescent="0.3">
      <c r="A57" t="s">
        <v>76</v>
      </c>
      <c r="B57">
        <v>77.91</v>
      </c>
    </row>
    <row r="58" spans="1:5" x14ac:dyDescent="0.3">
      <c r="A58" t="s">
        <v>77</v>
      </c>
    </row>
    <row r="59" spans="1:5" x14ac:dyDescent="0.3">
      <c r="A59" t="s">
        <v>78</v>
      </c>
      <c r="B59">
        <v>115.71</v>
      </c>
    </row>
    <row r="60" spans="1:5" x14ac:dyDescent="0.3">
      <c r="A60" t="s">
        <v>79</v>
      </c>
      <c r="B60">
        <v>40.69</v>
      </c>
    </row>
    <row r="61" spans="1:5" x14ac:dyDescent="0.3">
      <c r="A61" t="s">
        <v>80</v>
      </c>
    </row>
    <row r="62" spans="1:5" x14ac:dyDescent="0.3">
      <c r="A62" t="s">
        <v>82</v>
      </c>
      <c r="B62">
        <v>314.01</v>
      </c>
    </row>
    <row r="63" spans="1:5" x14ac:dyDescent="0.3">
      <c r="A63" t="s">
        <v>83</v>
      </c>
      <c r="B63">
        <v>589.53</v>
      </c>
    </row>
    <row r="64" spans="1:5" x14ac:dyDescent="0.3">
      <c r="A64" t="s">
        <v>84</v>
      </c>
    </row>
    <row r="65" spans="1:2" x14ac:dyDescent="0.3">
      <c r="A65" t="s">
        <v>85</v>
      </c>
      <c r="B65">
        <v>52.45</v>
      </c>
    </row>
    <row r="66" spans="1:2" x14ac:dyDescent="0.3">
      <c r="A66" t="s">
        <v>86</v>
      </c>
      <c r="B66">
        <v>76.27</v>
      </c>
    </row>
    <row r="67" spans="1:2" x14ac:dyDescent="0.3">
      <c r="A67" t="s">
        <v>87</v>
      </c>
      <c r="B67">
        <v>9.3000000000000007</v>
      </c>
    </row>
    <row r="68" spans="1:2" x14ac:dyDescent="0.3">
      <c r="A68" t="s">
        <v>88</v>
      </c>
    </row>
    <row r="69" spans="1:2" x14ac:dyDescent="0.3">
      <c r="A69" t="s">
        <v>89</v>
      </c>
      <c r="B69">
        <v>8.48</v>
      </c>
    </row>
    <row r="70" spans="1:2" x14ac:dyDescent="0.3">
      <c r="A70" t="s">
        <v>90</v>
      </c>
      <c r="B70">
        <v>41.75</v>
      </c>
    </row>
    <row r="71" spans="1:2" x14ac:dyDescent="0.3">
      <c r="A71" t="s">
        <v>92</v>
      </c>
      <c r="B71">
        <v>103.27</v>
      </c>
    </row>
    <row r="72" spans="1:2" x14ac:dyDescent="0.3">
      <c r="A72" t="s">
        <v>93</v>
      </c>
      <c r="B72">
        <v>111.28</v>
      </c>
    </row>
    <row r="73" spans="1:2" x14ac:dyDescent="0.3">
      <c r="A73" t="s">
        <v>94</v>
      </c>
      <c r="B73">
        <v>60.78</v>
      </c>
    </row>
    <row r="74" spans="1:2" x14ac:dyDescent="0.3">
      <c r="A74" t="s">
        <v>95</v>
      </c>
      <c r="B74">
        <v>146.94999999999999</v>
      </c>
    </row>
    <row r="75" spans="1:2" x14ac:dyDescent="0.3">
      <c r="A75" t="s">
        <v>96</v>
      </c>
      <c r="B75">
        <v>109.53</v>
      </c>
    </row>
    <row r="76" spans="1:2" x14ac:dyDescent="0.3">
      <c r="A76" t="s">
        <v>97</v>
      </c>
      <c r="B76">
        <v>105.49</v>
      </c>
    </row>
    <row r="77" spans="1:2" x14ac:dyDescent="0.3">
      <c r="A77" t="s">
        <v>98</v>
      </c>
      <c r="B77">
        <v>9.65</v>
      </c>
    </row>
    <row r="78" spans="1:2" x14ac:dyDescent="0.3">
      <c r="A78" t="s">
        <v>99</v>
      </c>
      <c r="B78">
        <v>1170.21</v>
      </c>
    </row>
    <row r="79" spans="1:2" x14ac:dyDescent="0.3">
      <c r="A79" t="s">
        <v>100</v>
      </c>
      <c r="B79">
        <v>76.900000000000006</v>
      </c>
    </row>
    <row r="80" spans="1:2" x14ac:dyDescent="0.3">
      <c r="A80" t="s">
        <v>101</v>
      </c>
      <c r="B80">
        <v>1.02</v>
      </c>
    </row>
    <row r="81" spans="1:2" x14ac:dyDescent="0.3">
      <c r="A81" t="s">
        <v>102</v>
      </c>
      <c r="B81">
        <v>33.5</v>
      </c>
    </row>
    <row r="82" spans="1:2" x14ac:dyDescent="0.3">
      <c r="A82" t="s">
        <v>103</v>
      </c>
      <c r="B82">
        <v>8.64</v>
      </c>
    </row>
    <row r="83" spans="1:2" x14ac:dyDescent="0.3">
      <c r="A83" t="s">
        <v>104</v>
      </c>
    </row>
    <row r="84" spans="1:2" x14ac:dyDescent="0.3">
      <c r="A84" t="s">
        <v>105</v>
      </c>
      <c r="B84">
        <v>100.07</v>
      </c>
    </row>
    <row r="85" spans="1:2" x14ac:dyDescent="0.3">
      <c r="A85" t="s">
        <v>107</v>
      </c>
      <c r="B85">
        <v>43.59</v>
      </c>
    </row>
    <row r="86" spans="1:2" x14ac:dyDescent="0.3">
      <c r="A86" t="s">
        <v>108</v>
      </c>
      <c r="B86">
        <v>21</v>
      </c>
    </row>
    <row r="87" spans="1:2" x14ac:dyDescent="0.3">
      <c r="A87" t="s">
        <v>109</v>
      </c>
      <c r="B87">
        <v>530.02</v>
      </c>
    </row>
    <row r="88" spans="1:2" x14ac:dyDescent="0.3">
      <c r="A88" t="s">
        <v>110</v>
      </c>
      <c r="B88">
        <v>60.84</v>
      </c>
    </row>
    <row r="89" spans="1:2" x14ac:dyDescent="0.3">
      <c r="A89" t="s">
        <v>111</v>
      </c>
      <c r="B89">
        <v>87.18</v>
      </c>
    </row>
    <row r="90" spans="1:2" x14ac:dyDescent="0.3">
      <c r="A90" t="s">
        <v>112</v>
      </c>
      <c r="B90">
        <v>1.6</v>
      </c>
    </row>
    <row r="91" spans="1:2" x14ac:dyDescent="0.3">
      <c r="A91" t="s">
        <v>113</v>
      </c>
    </row>
    <row r="92" spans="1:2" x14ac:dyDescent="0.3">
      <c r="A92" t="s">
        <v>114</v>
      </c>
    </row>
    <row r="93" spans="1:2" x14ac:dyDescent="0.3">
      <c r="A93" t="s">
        <v>115</v>
      </c>
    </row>
    <row r="94" spans="1:2" x14ac:dyDescent="0.3">
      <c r="A94" t="s">
        <v>116</v>
      </c>
      <c r="B94">
        <v>12.39</v>
      </c>
    </row>
    <row r="95" spans="1:2" x14ac:dyDescent="0.3">
      <c r="A95" t="s">
        <v>117</v>
      </c>
      <c r="B95">
        <v>109.5</v>
      </c>
    </row>
    <row r="96" spans="1:2" x14ac:dyDescent="0.3">
      <c r="A96" t="s">
        <v>118</v>
      </c>
      <c r="B96">
        <v>10.28</v>
      </c>
    </row>
    <row r="97" spans="1:2" x14ac:dyDescent="0.3">
      <c r="A97" t="s">
        <v>119</v>
      </c>
      <c r="B97">
        <v>7.4</v>
      </c>
    </row>
    <row r="98" spans="1:2" x14ac:dyDescent="0.3">
      <c r="A98" t="s">
        <v>120</v>
      </c>
      <c r="B98">
        <v>7.56</v>
      </c>
    </row>
    <row r="99" spans="1:2" x14ac:dyDescent="0.3">
      <c r="A99" t="s">
        <v>121</v>
      </c>
      <c r="B99">
        <v>10.6</v>
      </c>
    </row>
    <row r="100" spans="1:2" x14ac:dyDescent="0.3">
      <c r="A100" t="s">
        <v>122</v>
      </c>
      <c r="B100">
        <v>95.5</v>
      </c>
    </row>
    <row r="101" spans="1:2" x14ac:dyDescent="0.3">
      <c r="A101" t="s">
        <v>123</v>
      </c>
      <c r="B101">
        <v>74.8</v>
      </c>
    </row>
    <row r="102" spans="1:2" x14ac:dyDescent="0.3">
      <c r="A102" t="s">
        <v>124</v>
      </c>
      <c r="B102">
        <v>4.71</v>
      </c>
    </row>
    <row r="103" spans="1:2" x14ac:dyDescent="0.3">
      <c r="A103" t="s">
        <v>125</v>
      </c>
      <c r="B103">
        <v>82.78</v>
      </c>
    </row>
    <row r="104" spans="1:2" x14ac:dyDescent="0.3">
      <c r="A104" t="s">
        <v>126</v>
      </c>
      <c r="B104">
        <v>73.31</v>
      </c>
    </row>
    <row r="105" spans="1:2" x14ac:dyDescent="0.3">
      <c r="A105" t="s">
        <v>127</v>
      </c>
      <c r="B105">
        <v>40.880000000000003</v>
      </c>
    </row>
    <row r="106" spans="1:2" x14ac:dyDescent="0.3">
      <c r="A106" t="s">
        <v>128</v>
      </c>
      <c r="B106">
        <v>66.010000000000005</v>
      </c>
    </row>
    <row r="107" spans="1:2" x14ac:dyDescent="0.3">
      <c r="A107" t="s">
        <v>129</v>
      </c>
      <c r="B107">
        <v>59.87</v>
      </c>
    </row>
    <row r="108" spans="1:2" x14ac:dyDescent="0.3">
      <c r="A108" t="s">
        <v>130</v>
      </c>
      <c r="B108">
        <v>63.79</v>
      </c>
    </row>
    <row r="109" spans="1:2" x14ac:dyDescent="0.3">
      <c r="A109" t="s">
        <v>131</v>
      </c>
      <c r="B109">
        <v>307.98</v>
      </c>
    </row>
    <row r="110" spans="1:2" x14ac:dyDescent="0.3">
      <c r="A110" t="s">
        <v>132</v>
      </c>
      <c r="B110">
        <v>7.21</v>
      </c>
    </row>
    <row r="111" spans="1:2" x14ac:dyDescent="0.3">
      <c r="A111" t="s">
        <v>133</v>
      </c>
      <c r="B111">
        <v>13</v>
      </c>
    </row>
    <row r="112" spans="1:2" x14ac:dyDescent="0.3">
      <c r="A112" t="s">
        <v>134</v>
      </c>
      <c r="B112">
        <v>3.97</v>
      </c>
    </row>
    <row r="113" spans="1:2" x14ac:dyDescent="0.3">
      <c r="A113" t="s">
        <v>135</v>
      </c>
      <c r="B113">
        <v>7.1</v>
      </c>
    </row>
    <row r="114" spans="1:2" x14ac:dyDescent="0.3">
      <c r="A114" t="s">
        <v>136</v>
      </c>
      <c r="B114">
        <v>25.05</v>
      </c>
    </row>
    <row r="115" spans="1:2" x14ac:dyDescent="0.3">
      <c r="A115" t="s">
        <v>137</v>
      </c>
    </row>
    <row r="116" spans="1:2" x14ac:dyDescent="0.3">
      <c r="A116" t="s">
        <v>138</v>
      </c>
    </row>
    <row r="117" spans="1:2" x14ac:dyDescent="0.3">
      <c r="A117" t="s">
        <v>139</v>
      </c>
      <c r="B117">
        <v>650.35</v>
      </c>
    </row>
    <row r="118" spans="1:2" x14ac:dyDescent="0.3">
      <c r="A118" t="s">
        <v>140</v>
      </c>
      <c r="B118">
        <v>6.21</v>
      </c>
    </row>
    <row r="119" spans="1:2" x14ac:dyDescent="0.3">
      <c r="A119" t="s">
        <v>141</v>
      </c>
    </row>
    <row r="120" spans="1:2" x14ac:dyDescent="0.3">
      <c r="A120" t="s">
        <v>143</v>
      </c>
      <c r="B120">
        <v>5.76</v>
      </c>
    </row>
    <row r="121" spans="1:2" x14ac:dyDescent="0.3">
      <c r="A121" t="s">
        <v>144</v>
      </c>
      <c r="B121">
        <v>139.99</v>
      </c>
    </row>
    <row r="122" spans="1:2" x14ac:dyDescent="0.3">
      <c r="A122" t="s">
        <v>145</v>
      </c>
      <c r="B122">
        <v>15.59</v>
      </c>
    </row>
    <row r="123" spans="1:2" x14ac:dyDescent="0.3">
      <c r="A123" t="s">
        <v>146</v>
      </c>
      <c r="B123">
        <v>92.2</v>
      </c>
    </row>
    <row r="124" spans="1:2" x14ac:dyDescent="0.3">
      <c r="A124" t="s">
        <v>147</v>
      </c>
      <c r="B124">
        <v>103.49</v>
      </c>
    </row>
    <row r="125" spans="1:2" x14ac:dyDescent="0.3">
      <c r="A125" t="s">
        <v>148</v>
      </c>
    </row>
    <row r="126" spans="1:2" x14ac:dyDescent="0.3">
      <c r="A126" t="s">
        <v>149</v>
      </c>
      <c r="B126">
        <v>10.36</v>
      </c>
    </row>
    <row r="127" spans="1:2" x14ac:dyDescent="0.3">
      <c r="A127" t="s">
        <v>150</v>
      </c>
    </row>
    <row r="128" spans="1:2" x14ac:dyDescent="0.3">
      <c r="A128" t="s">
        <v>151</v>
      </c>
      <c r="B128">
        <v>7.79</v>
      </c>
    </row>
    <row r="129" spans="1:2" x14ac:dyDescent="0.3">
      <c r="A129" t="s">
        <v>152</v>
      </c>
      <c r="B129">
        <v>76000</v>
      </c>
    </row>
    <row r="130" spans="1:2" x14ac:dyDescent="0.3">
      <c r="A130" t="s">
        <v>153</v>
      </c>
      <c r="B130">
        <v>125</v>
      </c>
    </row>
    <row r="131" spans="1:2" x14ac:dyDescent="0.3">
      <c r="A131" t="s">
        <v>154</v>
      </c>
      <c r="B131">
        <v>274</v>
      </c>
    </row>
    <row r="132" spans="1:2" x14ac:dyDescent="0.3">
      <c r="A132" t="s">
        <v>155</v>
      </c>
    </row>
    <row r="133" spans="1:2" x14ac:dyDescent="0.3">
      <c r="A133" t="s">
        <v>156</v>
      </c>
      <c r="B133">
        <v>9.69</v>
      </c>
    </row>
    <row r="134" spans="1:2" x14ac:dyDescent="0.3">
      <c r="A134" t="s">
        <v>157</v>
      </c>
      <c r="B134">
        <v>149.99</v>
      </c>
    </row>
    <row r="135" spans="1:2" x14ac:dyDescent="0.3">
      <c r="A135" t="s">
        <v>158</v>
      </c>
      <c r="B135">
        <v>896.01</v>
      </c>
    </row>
    <row r="136" spans="1:2" x14ac:dyDescent="0.3">
      <c r="A136" t="s">
        <v>159</v>
      </c>
      <c r="B136">
        <v>84.14</v>
      </c>
    </row>
    <row r="137" spans="1:2" x14ac:dyDescent="0.3">
      <c r="A137" t="s">
        <v>160</v>
      </c>
      <c r="B137">
        <v>126</v>
      </c>
    </row>
    <row r="138" spans="1:2" x14ac:dyDescent="0.3">
      <c r="A138" t="s">
        <v>161</v>
      </c>
    </row>
    <row r="139" spans="1:2" x14ac:dyDescent="0.3">
      <c r="A139" t="s">
        <v>162</v>
      </c>
    </row>
    <row r="140" spans="1:2" x14ac:dyDescent="0.3">
      <c r="A140" t="s">
        <v>163</v>
      </c>
      <c r="B140">
        <v>8.77</v>
      </c>
    </row>
    <row r="141" spans="1:2" x14ac:dyDescent="0.3">
      <c r="A141" t="s">
        <v>164</v>
      </c>
      <c r="B141">
        <v>48</v>
      </c>
    </row>
    <row r="142" spans="1:2" x14ac:dyDescent="0.3">
      <c r="A142" t="s">
        <v>165</v>
      </c>
      <c r="B142">
        <v>494.35</v>
      </c>
    </row>
    <row r="143" spans="1:2" x14ac:dyDescent="0.3">
      <c r="A143" t="s">
        <v>166</v>
      </c>
      <c r="B143">
        <v>152.94</v>
      </c>
    </row>
    <row r="144" spans="1:2" x14ac:dyDescent="0.3">
      <c r="A144" t="s">
        <v>167</v>
      </c>
      <c r="B144">
        <v>65</v>
      </c>
    </row>
    <row r="145" spans="1:2" x14ac:dyDescent="0.3">
      <c r="A145" t="s">
        <v>168</v>
      </c>
      <c r="B145">
        <v>0</v>
      </c>
    </row>
    <row r="146" spans="1:2" x14ac:dyDescent="0.3">
      <c r="A146" t="s">
        <v>169</v>
      </c>
    </row>
    <row r="147" spans="1:2" x14ac:dyDescent="0.3">
      <c r="A147" t="s">
        <v>170</v>
      </c>
      <c r="B147">
        <v>95</v>
      </c>
    </row>
    <row r="148" spans="1:2" x14ac:dyDescent="0.3">
      <c r="A148" t="s">
        <v>171</v>
      </c>
    </row>
    <row r="149" spans="1:2" x14ac:dyDescent="0.3">
      <c r="A149" t="s">
        <v>172</v>
      </c>
      <c r="B149">
        <v>145.88999999999999</v>
      </c>
    </row>
    <row r="150" spans="1:2" x14ac:dyDescent="0.3">
      <c r="A150" t="s">
        <v>173</v>
      </c>
      <c r="B150">
        <v>20.71</v>
      </c>
    </row>
    <row r="151" spans="1:2" x14ac:dyDescent="0.3">
      <c r="A151" t="s">
        <v>174</v>
      </c>
      <c r="B151">
        <v>38.119999999999997</v>
      </c>
    </row>
    <row r="152" spans="1:2" x14ac:dyDescent="0.3">
      <c r="A152" t="s">
        <v>175</v>
      </c>
      <c r="B152">
        <v>224.96</v>
      </c>
    </row>
    <row r="153" spans="1:2" x14ac:dyDescent="0.3">
      <c r="A153" t="s">
        <v>176</v>
      </c>
      <c r="B153">
        <v>385.15</v>
      </c>
    </row>
    <row r="154" spans="1:2" x14ac:dyDescent="0.3">
      <c r="A154" t="s">
        <v>177</v>
      </c>
    </row>
    <row r="155" spans="1:2" x14ac:dyDescent="0.3">
      <c r="A155" t="s">
        <v>178</v>
      </c>
      <c r="B155">
        <v>9</v>
      </c>
    </row>
    <row r="156" spans="1:2" x14ac:dyDescent="0.3">
      <c r="A156" t="s">
        <v>179</v>
      </c>
      <c r="B156">
        <v>2894.66</v>
      </c>
    </row>
    <row r="157" spans="1:2" x14ac:dyDescent="0.3">
      <c r="A157" t="s">
        <v>180</v>
      </c>
    </row>
    <row r="158" spans="1:2" x14ac:dyDescent="0.3">
      <c r="A158" t="s">
        <v>181</v>
      </c>
      <c r="B158">
        <v>70.13</v>
      </c>
    </row>
    <row r="159" spans="1:2" x14ac:dyDescent="0.3">
      <c r="A159" t="s">
        <v>182</v>
      </c>
      <c r="B159">
        <v>7.84</v>
      </c>
    </row>
    <row r="160" spans="1:2" x14ac:dyDescent="0.3">
      <c r="A160" t="s">
        <v>183</v>
      </c>
      <c r="B160">
        <v>138.99</v>
      </c>
    </row>
    <row r="161" spans="1:2" x14ac:dyDescent="0.3">
      <c r="A161" t="s">
        <v>184</v>
      </c>
      <c r="B161">
        <v>138.46</v>
      </c>
    </row>
    <row r="162" spans="1:2" x14ac:dyDescent="0.3">
      <c r="A162" t="s">
        <v>185</v>
      </c>
    </row>
    <row r="163" spans="1:2" x14ac:dyDescent="0.3">
      <c r="A163" t="s">
        <v>186</v>
      </c>
      <c r="B163">
        <v>8.4</v>
      </c>
    </row>
    <row r="164" spans="1:2" x14ac:dyDescent="0.3">
      <c r="A164" t="s">
        <v>187</v>
      </c>
      <c r="B164">
        <v>8.99</v>
      </c>
    </row>
    <row r="165" spans="1:2" x14ac:dyDescent="0.3">
      <c r="A165" t="s">
        <v>188</v>
      </c>
    </row>
    <row r="166" spans="1:2" x14ac:dyDescent="0.3">
      <c r="A166" t="s">
        <v>189</v>
      </c>
      <c r="B166">
        <v>98.99</v>
      </c>
    </row>
    <row r="167" spans="1:2" x14ac:dyDescent="0.3">
      <c r="A167" t="s">
        <v>190</v>
      </c>
      <c r="B167">
        <v>49.6</v>
      </c>
    </row>
    <row r="168" spans="1:2" x14ac:dyDescent="0.3">
      <c r="A168" t="s">
        <v>191</v>
      </c>
      <c r="B168">
        <v>62.8</v>
      </c>
    </row>
    <row r="169" spans="1:2" x14ac:dyDescent="0.3">
      <c r="A169" t="s">
        <v>192</v>
      </c>
    </row>
    <row r="170" spans="1:2" x14ac:dyDescent="0.3">
      <c r="A170" t="s">
        <v>193</v>
      </c>
      <c r="B170">
        <v>107.53</v>
      </c>
    </row>
    <row r="171" spans="1:2" x14ac:dyDescent="0.3">
      <c r="A171" t="s">
        <v>194</v>
      </c>
      <c r="B171">
        <v>9.98</v>
      </c>
    </row>
    <row r="172" spans="1:2" x14ac:dyDescent="0.3">
      <c r="A172" t="s">
        <v>195</v>
      </c>
      <c r="B172">
        <v>99.66</v>
      </c>
    </row>
    <row r="173" spans="1:2" x14ac:dyDescent="0.3">
      <c r="A173" t="s">
        <v>196</v>
      </c>
      <c r="B173">
        <v>68.95</v>
      </c>
    </row>
    <row r="174" spans="1:2" x14ac:dyDescent="0.3">
      <c r="A174" t="s">
        <v>197</v>
      </c>
      <c r="B174">
        <v>105.8</v>
      </c>
    </row>
    <row r="175" spans="1:2" x14ac:dyDescent="0.3">
      <c r="A175" t="s">
        <v>198</v>
      </c>
    </row>
    <row r="176" spans="1:2" x14ac:dyDescent="0.3">
      <c r="A176" t="s">
        <v>199</v>
      </c>
      <c r="B176">
        <v>8.24</v>
      </c>
    </row>
    <row r="177" spans="1:2" x14ac:dyDescent="0.3">
      <c r="A177" t="s">
        <v>200</v>
      </c>
      <c r="B177">
        <v>7.64</v>
      </c>
    </row>
    <row r="178" spans="1:2" x14ac:dyDescent="0.3">
      <c r="A178" t="s">
        <v>201</v>
      </c>
      <c r="B178">
        <v>9.6300000000000008</v>
      </c>
    </row>
    <row r="179" spans="1:2" x14ac:dyDescent="0.3">
      <c r="A179" t="s">
        <v>202</v>
      </c>
    </row>
    <row r="180" spans="1:2" x14ac:dyDescent="0.3">
      <c r="A180" t="s">
        <v>203</v>
      </c>
      <c r="B180">
        <v>76.400000000000006</v>
      </c>
    </row>
    <row r="181" spans="1:2" x14ac:dyDescent="0.3">
      <c r="A181" t="s">
        <v>204</v>
      </c>
    </row>
    <row r="182" spans="1:2" x14ac:dyDescent="0.3">
      <c r="A182" t="s">
        <v>205</v>
      </c>
    </row>
    <row r="183" spans="1:2" x14ac:dyDescent="0.3">
      <c r="A183" t="s">
        <v>206</v>
      </c>
      <c r="B183">
        <v>46.59</v>
      </c>
    </row>
    <row r="184" spans="1:2" x14ac:dyDescent="0.3">
      <c r="A184" t="s">
        <v>207</v>
      </c>
      <c r="B184">
        <v>49.44</v>
      </c>
    </row>
    <row r="185" spans="1:2" x14ac:dyDescent="0.3">
      <c r="A185" t="s">
        <v>208</v>
      </c>
      <c r="B185">
        <v>72.89</v>
      </c>
    </row>
    <row r="186" spans="1:2" x14ac:dyDescent="0.3">
      <c r="A186" t="s">
        <v>209</v>
      </c>
      <c r="B186">
        <v>135.5</v>
      </c>
    </row>
    <row r="187" spans="1:2" x14ac:dyDescent="0.3">
      <c r="A187" t="s">
        <v>210</v>
      </c>
    </row>
    <row r="188" spans="1:2" x14ac:dyDescent="0.3">
      <c r="A188" t="s">
        <v>211</v>
      </c>
    </row>
    <row r="189" spans="1:2" x14ac:dyDescent="0.3">
      <c r="A189" t="s">
        <v>212</v>
      </c>
      <c r="B189">
        <v>79</v>
      </c>
    </row>
    <row r="190" spans="1:2" x14ac:dyDescent="0.3">
      <c r="A190" t="s">
        <v>213</v>
      </c>
      <c r="B190">
        <v>271.99</v>
      </c>
    </row>
    <row r="191" spans="1:2" x14ac:dyDescent="0.3">
      <c r="A191" t="s">
        <v>214</v>
      </c>
      <c r="B191">
        <v>22</v>
      </c>
    </row>
    <row r="192" spans="1:2" x14ac:dyDescent="0.3">
      <c r="A192" t="s">
        <v>215</v>
      </c>
      <c r="B192">
        <v>85.98</v>
      </c>
    </row>
    <row r="193" spans="1:2" x14ac:dyDescent="0.3">
      <c r="A193" t="s">
        <v>216</v>
      </c>
      <c r="B193">
        <v>6.17</v>
      </c>
    </row>
    <row r="194" spans="1:2" x14ac:dyDescent="0.3">
      <c r="A194" t="s">
        <v>217</v>
      </c>
      <c r="B194">
        <v>10.220000000000001</v>
      </c>
    </row>
    <row r="195" spans="1:2" x14ac:dyDescent="0.3">
      <c r="A195" t="s">
        <v>218</v>
      </c>
      <c r="B195">
        <v>9.02</v>
      </c>
    </row>
    <row r="196" spans="1:2" x14ac:dyDescent="0.3">
      <c r="A196" t="s">
        <v>219</v>
      </c>
      <c r="B196">
        <v>20.12</v>
      </c>
    </row>
    <row r="197" spans="1:2" x14ac:dyDescent="0.3">
      <c r="A197" t="s">
        <v>220</v>
      </c>
      <c r="B197">
        <v>94.62</v>
      </c>
    </row>
    <row r="198" spans="1:2" x14ac:dyDescent="0.3">
      <c r="A198" t="s">
        <v>221</v>
      </c>
      <c r="B198">
        <v>0</v>
      </c>
    </row>
    <row r="199" spans="1:2" x14ac:dyDescent="0.3">
      <c r="A199" t="s">
        <v>222</v>
      </c>
      <c r="B199">
        <v>64.959999999999994</v>
      </c>
    </row>
    <row r="200" spans="1:2" x14ac:dyDescent="0.3">
      <c r="A200" t="s">
        <v>223</v>
      </c>
    </row>
    <row r="201" spans="1:2" x14ac:dyDescent="0.3">
      <c r="A201" t="s">
        <v>224</v>
      </c>
      <c r="B201">
        <v>159.1</v>
      </c>
    </row>
    <row r="202" spans="1:2" x14ac:dyDescent="0.3">
      <c r="A202" t="s">
        <v>225</v>
      </c>
      <c r="B202">
        <v>143</v>
      </c>
    </row>
    <row r="203" spans="1:2" x14ac:dyDescent="0.3">
      <c r="A203" t="s">
        <v>226</v>
      </c>
      <c r="B203">
        <v>117</v>
      </c>
    </row>
    <row r="204" spans="1:2" x14ac:dyDescent="0.3">
      <c r="A204" t="s">
        <v>227</v>
      </c>
      <c r="B204">
        <v>126.2</v>
      </c>
    </row>
    <row r="205" spans="1:2" x14ac:dyDescent="0.3">
      <c r="A205" t="s">
        <v>228</v>
      </c>
      <c r="B205">
        <v>186.81</v>
      </c>
    </row>
    <row r="206" spans="1:2" x14ac:dyDescent="0.3">
      <c r="A206" t="s">
        <v>229</v>
      </c>
      <c r="B206">
        <v>9.01</v>
      </c>
    </row>
    <row r="207" spans="1:2" x14ac:dyDescent="0.3">
      <c r="A207" t="s">
        <v>230</v>
      </c>
    </row>
    <row r="208" spans="1:2" x14ac:dyDescent="0.3">
      <c r="A208" t="s">
        <v>231</v>
      </c>
      <c r="B208">
        <v>28.31</v>
      </c>
    </row>
    <row r="209" spans="1:2" x14ac:dyDescent="0.3">
      <c r="A209" t="s">
        <v>232</v>
      </c>
      <c r="B209">
        <v>86.92</v>
      </c>
    </row>
    <row r="210" spans="1:2" x14ac:dyDescent="0.3">
      <c r="A210" t="s">
        <v>233</v>
      </c>
      <c r="B210">
        <v>92.5</v>
      </c>
    </row>
    <row r="211" spans="1:2" x14ac:dyDescent="0.3">
      <c r="A211" t="s">
        <v>234</v>
      </c>
      <c r="B211">
        <v>4</v>
      </c>
    </row>
    <row r="212" spans="1:2" x14ac:dyDescent="0.3">
      <c r="A212" t="s">
        <v>235</v>
      </c>
      <c r="B212">
        <v>8.4</v>
      </c>
    </row>
    <row r="213" spans="1:2" x14ac:dyDescent="0.3">
      <c r="A213" t="s">
        <v>236</v>
      </c>
      <c r="B213">
        <v>145.44999999999999</v>
      </c>
    </row>
    <row r="214" spans="1:2" x14ac:dyDescent="0.3">
      <c r="A214" t="s">
        <v>237</v>
      </c>
      <c r="B214">
        <v>76.489999999999995</v>
      </c>
    </row>
    <row r="215" spans="1:2" x14ac:dyDescent="0.3">
      <c r="A215" t="s">
        <v>238</v>
      </c>
      <c r="B215">
        <v>88.35</v>
      </c>
    </row>
    <row r="216" spans="1:2" x14ac:dyDescent="0.3">
      <c r="A216" t="s">
        <v>239</v>
      </c>
      <c r="B216">
        <v>86.29</v>
      </c>
    </row>
    <row r="217" spans="1:2" x14ac:dyDescent="0.3">
      <c r="A217" t="s">
        <v>240</v>
      </c>
      <c r="B217">
        <v>101.49</v>
      </c>
    </row>
    <row r="218" spans="1:2" x14ac:dyDescent="0.3">
      <c r="A218" t="s">
        <v>241</v>
      </c>
      <c r="B218">
        <v>139.19</v>
      </c>
    </row>
    <row r="219" spans="1:2" x14ac:dyDescent="0.3">
      <c r="A219" t="s">
        <v>242</v>
      </c>
      <c r="B219">
        <v>93.97</v>
      </c>
    </row>
    <row r="220" spans="1:2" x14ac:dyDescent="0.3">
      <c r="A220" t="s">
        <v>243</v>
      </c>
      <c r="B220">
        <v>92.7</v>
      </c>
    </row>
    <row r="221" spans="1:2" x14ac:dyDescent="0.3">
      <c r="A221" t="s">
        <v>244</v>
      </c>
      <c r="B221">
        <v>1249</v>
      </c>
    </row>
    <row r="222" spans="1:2" x14ac:dyDescent="0.3">
      <c r="A222" t="s">
        <v>245</v>
      </c>
      <c r="B222">
        <v>181.5</v>
      </c>
    </row>
    <row r="223" spans="1:2" x14ac:dyDescent="0.3">
      <c r="A223" t="s">
        <v>246</v>
      </c>
      <c r="B223">
        <v>7.69</v>
      </c>
    </row>
    <row r="224" spans="1:2" x14ac:dyDescent="0.3">
      <c r="A224" t="s">
        <v>247</v>
      </c>
      <c r="B224">
        <v>3.97</v>
      </c>
    </row>
    <row r="225" spans="1:2" x14ac:dyDescent="0.3">
      <c r="A225" t="s">
        <v>248</v>
      </c>
      <c r="B225">
        <v>7.9</v>
      </c>
    </row>
    <row r="226" spans="1:2" x14ac:dyDescent="0.3">
      <c r="A226" t="s">
        <v>249</v>
      </c>
      <c r="B226">
        <v>48.2</v>
      </c>
    </row>
    <row r="227" spans="1:2" x14ac:dyDescent="0.3">
      <c r="A227" t="s">
        <v>250</v>
      </c>
    </row>
    <row r="228" spans="1:2" x14ac:dyDescent="0.3">
      <c r="A228" t="s">
        <v>251</v>
      </c>
      <c r="B228">
        <v>89.25</v>
      </c>
    </row>
    <row r="229" spans="1:2" x14ac:dyDescent="0.3">
      <c r="A229" t="s">
        <v>252</v>
      </c>
    </row>
    <row r="230" spans="1:2" x14ac:dyDescent="0.3">
      <c r="A230" t="s">
        <v>253</v>
      </c>
    </row>
    <row r="231" spans="1:2" x14ac:dyDescent="0.3">
      <c r="A231" t="s">
        <v>254</v>
      </c>
    </row>
    <row r="232" spans="1:2" x14ac:dyDescent="0.3">
      <c r="A232" t="s">
        <v>255</v>
      </c>
    </row>
    <row r="233" spans="1:2" x14ac:dyDescent="0.3">
      <c r="A233" t="s">
        <v>256</v>
      </c>
      <c r="B233">
        <v>74.09</v>
      </c>
    </row>
    <row r="234" spans="1:2" x14ac:dyDescent="0.3">
      <c r="A234" t="s">
        <v>257</v>
      </c>
      <c r="B234">
        <v>75.2</v>
      </c>
    </row>
    <row r="235" spans="1:2" x14ac:dyDescent="0.3">
      <c r="A235" t="s">
        <v>258</v>
      </c>
      <c r="B235">
        <v>58.5</v>
      </c>
    </row>
    <row r="236" spans="1:2" x14ac:dyDescent="0.3">
      <c r="A236" t="s">
        <v>259</v>
      </c>
      <c r="B236">
        <v>72</v>
      </c>
    </row>
    <row r="237" spans="1:2" x14ac:dyDescent="0.3">
      <c r="A237" t="s">
        <v>260</v>
      </c>
      <c r="B237">
        <v>50.71</v>
      </c>
    </row>
    <row r="238" spans="1:2" x14ac:dyDescent="0.3">
      <c r="A238" t="s">
        <v>261</v>
      </c>
      <c r="B238">
        <v>65.2</v>
      </c>
    </row>
    <row r="239" spans="1:2" x14ac:dyDescent="0.3">
      <c r="A239" t="s">
        <v>262</v>
      </c>
      <c r="B239">
        <v>69.209999999999994</v>
      </c>
    </row>
    <row r="240" spans="1:2" x14ac:dyDescent="0.3">
      <c r="A240" t="s">
        <v>263</v>
      </c>
      <c r="B240">
        <v>79.040000000000006</v>
      </c>
    </row>
    <row r="241" spans="1:2" x14ac:dyDescent="0.3">
      <c r="A241" t="s">
        <v>264</v>
      </c>
      <c r="B241">
        <v>100.01</v>
      </c>
    </row>
    <row r="242" spans="1:2" x14ac:dyDescent="0.3">
      <c r="A242" t="s">
        <v>265</v>
      </c>
      <c r="B242">
        <v>82.01</v>
      </c>
    </row>
    <row r="243" spans="1:2" x14ac:dyDescent="0.3">
      <c r="A243" t="s">
        <v>266</v>
      </c>
      <c r="B243">
        <v>170</v>
      </c>
    </row>
    <row r="244" spans="1:2" x14ac:dyDescent="0.3">
      <c r="A244" t="s">
        <v>267</v>
      </c>
      <c r="B244">
        <v>148.9</v>
      </c>
    </row>
    <row r="245" spans="1:2" x14ac:dyDescent="0.3">
      <c r="A245" t="s">
        <v>268</v>
      </c>
      <c r="B245">
        <v>69.069999999999993</v>
      </c>
    </row>
    <row r="246" spans="1:2" x14ac:dyDescent="0.3">
      <c r="A246" t="s">
        <v>269</v>
      </c>
      <c r="B246">
        <v>68</v>
      </c>
    </row>
    <row r="247" spans="1:2" x14ac:dyDescent="0.3">
      <c r="A247" t="s">
        <v>270</v>
      </c>
      <c r="B247">
        <v>78.8</v>
      </c>
    </row>
    <row r="248" spans="1:2" x14ac:dyDescent="0.3">
      <c r="A248" t="s">
        <v>271</v>
      </c>
      <c r="B248">
        <v>141.1</v>
      </c>
    </row>
    <row r="249" spans="1:2" x14ac:dyDescent="0.3">
      <c r="A249" t="s">
        <v>272</v>
      </c>
    </row>
    <row r="250" spans="1:2" x14ac:dyDescent="0.3">
      <c r="A250" t="s">
        <v>273</v>
      </c>
      <c r="B250">
        <v>7.28</v>
      </c>
    </row>
    <row r="251" spans="1:2" x14ac:dyDescent="0.3">
      <c r="A251" t="s">
        <v>274</v>
      </c>
      <c r="B251">
        <v>8.0500000000000007</v>
      </c>
    </row>
    <row r="252" spans="1:2" x14ac:dyDescent="0.3">
      <c r="A252" t="s">
        <v>275</v>
      </c>
      <c r="B252">
        <v>62.86</v>
      </c>
    </row>
    <row r="253" spans="1:2" x14ac:dyDescent="0.3">
      <c r="A253" t="s">
        <v>276</v>
      </c>
      <c r="B253">
        <v>8.51</v>
      </c>
    </row>
    <row r="254" spans="1:2" x14ac:dyDescent="0.3">
      <c r="A254" t="s">
        <v>277</v>
      </c>
      <c r="B254">
        <v>93</v>
      </c>
    </row>
    <row r="255" spans="1:2" x14ac:dyDescent="0.3">
      <c r="A255" t="s">
        <v>278</v>
      </c>
      <c r="B255">
        <v>846.01</v>
      </c>
    </row>
    <row r="256" spans="1:2" x14ac:dyDescent="0.3">
      <c r="A256" t="s">
        <v>279</v>
      </c>
      <c r="B256">
        <v>1100</v>
      </c>
    </row>
    <row r="257" spans="1:2" x14ac:dyDescent="0.3">
      <c r="A257" t="s">
        <v>280</v>
      </c>
      <c r="B257">
        <v>82.24</v>
      </c>
    </row>
    <row r="258" spans="1:2" x14ac:dyDescent="0.3">
      <c r="A258" t="s">
        <v>281</v>
      </c>
    </row>
    <row r="259" spans="1:2" x14ac:dyDescent="0.3">
      <c r="A259" t="s">
        <v>282</v>
      </c>
      <c r="B259">
        <v>6.74</v>
      </c>
    </row>
    <row r="260" spans="1:2" x14ac:dyDescent="0.3">
      <c r="A260" t="s">
        <v>283</v>
      </c>
      <c r="B260">
        <v>62.67</v>
      </c>
    </row>
    <row r="261" spans="1:2" x14ac:dyDescent="0.3">
      <c r="A261" t="s">
        <v>284</v>
      </c>
      <c r="B261">
        <v>95.5</v>
      </c>
    </row>
    <row r="262" spans="1:2" x14ac:dyDescent="0.3">
      <c r="A262" t="s">
        <v>285</v>
      </c>
      <c r="B262">
        <v>106.37</v>
      </c>
    </row>
    <row r="263" spans="1:2" x14ac:dyDescent="0.3">
      <c r="A263" t="s">
        <v>286</v>
      </c>
      <c r="B263">
        <v>93.37</v>
      </c>
    </row>
    <row r="264" spans="1:2" x14ac:dyDescent="0.3">
      <c r="A264" t="s">
        <v>287</v>
      </c>
      <c r="B264">
        <v>99.72</v>
      </c>
    </row>
    <row r="265" spans="1:2" x14ac:dyDescent="0.3">
      <c r="A265" t="s">
        <v>288</v>
      </c>
      <c r="B265">
        <v>88</v>
      </c>
    </row>
    <row r="266" spans="1:2" x14ac:dyDescent="0.3">
      <c r="A266" t="s">
        <v>289</v>
      </c>
      <c r="B266">
        <v>0.3</v>
      </c>
    </row>
    <row r="267" spans="1:2" x14ac:dyDescent="0.3">
      <c r="A267" t="s">
        <v>290</v>
      </c>
      <c r="B267">
        <v>148</v>
      </c>
    </row>
    <row r="268" spans="1:2" x14ac:dyDescent="0.3">
      <c r="A268" t="s">
        <v>291</v>
      </c>
      <c r="B268">
        <v>8.8000000000000007</v>
      </c>
    </row>
    <row r="269" spans="1:2" x14ac:dyDescent="0.3">
      <c r="A269" t="s">
        <v>292</v>
      </c>
      <c r="B269">
        <v>104.64</v>
      </c>
    </row>
    <row r="270" spans="1:2" x14ac:dyDescent="0.3">
      <c r="A270" t="s">
        <v>293</v>
      </c>
      <c r="B270">
        <v>722</v>
      </c>
    </row>
    <row r="271" spans="1:2" x14ac:dyDescent="0.3">
      <c r="A271" t="s">
        <v>294</v>
      </c>
      <c r="B271">
        <v>70.400000000000006</v>
      </c>
    </row>
    <row r="272" spans="1:2" x14ac:dyDescent="0.3">
      <c r="A272" t="s">
        <v>295</v>
      </c>
      <c r="B272">
        <v>118.76</v>
      </c>
    </row>
    <row r="273" spans="1:2" x14ac:dyDescent="0.3">
      <c r="A273" t="s">
        <v>296</v>
      </c>
      <c r="B273">
        <v>100</v>
      </c>
    </row>
    <row r="274" spans="1:2" x14ac:dyDescent="0.3">
      <c r="A274" t="s">
        <v>297</v>
      </c>
    </row>
    <row r="275" spans="1:2" x14ac:dyDescent="0.3">
      <c r="A275" t="s">
        <v>298</v>
      </c>
    </row>
    <row r="276" spans="1:2" x14ac:dyDescent="0.3">
      <c r="A276" t="s">
        <v>299</v>
      </c>
    </row>
    <row r="277" spans="1:2" x14ac:dyDescent="0.3">
      <c r="A277" t="s">
        <v>300</v>
      </c>
      <c r="B277">
        <v>8.16</v>
      </c>
    </row>
    <row r="278" spans="1:2" x14ac:dyDescent="0.3">
      <c r="A278" t="s">
        <v>301</v>
      </c>
      <c r="B278">
        <v>57.2</v>
      </c>
    </row>
    <row r="279" spans="1:2" x14ac:dyDescent="0.3">
      <c r="A279" t="s">
        <v>302</v>
      </c>
    </row>
    <row r="280" spans="1:2" x14ac:dyDescent="0.3">
      <c r="A280" t="s">
        <v>303</v>
      </c>
      <c r="B280">
        <v>500</v>
      </c>
    </row>
    <row r="281" spans="1:2" x14ac:dyDescent="0.3">
      <c r="A281" t="s">
        <v>304</v>
      </c>
      <c r="B281">
        <v>95</v>
      </c>
    </row>
    <row r="282" spans="1:2" x14ac:dyDescent="0.3">
      <c r="A282" t="s">
        <v>305</v>
      </c>
      <c r="B282">
        <v>76.05</v>
      </c>
    </row>
    <row r="283" spans="1:2" x14ac:dyDescent="0.3">
      <c r="A283" t="s">
        <v>306</v>
      </c>
      <c r="B283">
        <v>12.26</v>
      </c>
    </row>
    <row r="284" spans="1:2" x14ac:dyDescent="0.3">
      <c r="A284" t="s">
        <v>307</v>
      </c>
    </row>
    <row r="285" spans="1:2" x14ac:dyDescent="0.3">
      <c r="A285" t="s">
        <v>308</v>
      </c>
      <c r="B285">
        <v>98.42</v>
      </c>
    </row>
    <row r="286" spans="1:2" x14ac:dyDescent="0.3">
      <c r="A286" t="s">
        <v>309</v>
      </c>
    </row>
    <row r="287" spans="1:2" x14ac:dyDescent="0.3">
      <c r="A287" t="s">
        <v>310</v>
      </c>
      <c r="B287">
        <v>105.45</v>
      </c>
    </row>
    <row r="288" spans="1:2" x14ac:dyDescent="0.3">
      <c r="A288" t="s">
        <v>311</v>
      </c>
    </row>
    <row r="289" spans="1:2" x14ac:dyDescent="0.3">
      <c r="A289" t="s">
        <v>312</v>
      </c>
      <c r="B289">
        <v>8.9</v>
      </c>
    </row>
    <row r="290" spans="1:2" x14ac:dyDescent="0.3">
      <c r="A290" t="s">
        <v>313</v>
      </c>
    </row>
    <row r="291" spans="1:2" x14ac:dyDescent="0.3">
      <c r="A291" t="s">
        <v>314</v>
      </c>
      <c r="B291">
        <v>64.75</v>
      </c>
    </row>
    <row r="292" spans="1:2" x14ac:dyDescent="0.3">
      <c r="A292" t="s">
        <v>315</v>
      </c>
    </row>
    <row r="293" spans="1:2" x14ac:dyDescent="0.3">
      <c r="A293" t="s">
        <v>316</v>
      </c>
      <c r="B293">
        <v>89.8</v>
      </c>
    </row>
    <row r="294" spans="1:2" x14ac:dyDescent="0.3">
      <c r="A294" t="s">
        <v>317</v>
      </c>
      <c r="B294">
        <v>65.77</v>
      </c>
    </row>
    <row r="295" spans="1:2" x14ac:dyDescent="0.3">
      <c r="A295" t="s">
        <v>318</v>
      </c>
    </row>
    <row r="296" spans="1:2" x14ac:dyDescent="0.3">
      <c r="A296" t="s">
        <v>319</v>
      </c>
    </row>
    <row r="297" spans="1:2" x14ac:dyDescent="0.3">
      <c r="A297" t="s">
        <v>320</v>
      </c>
      <c r="B297">
        <v>10</v>
      </c>
    </row>
    <row r="298" spans="1:2" x14ac:dyDescent="0.3">
      <c r="A298" t="s">
        <v>321</v>
      </c>
      <c r="B298">
        <v>8.8000000000000007</v>
      </c>
    </row>
    <row r="299" spans="1:2" x14ac:dyDescent="0.3">
      <c r="A299" t="s">
        <v>322</v>
      </c>
    </row>
    <row r="300" spans="1:2" x14ac:dyDescent="0.3">
      <c r="A300" t="s">
        <v>323</v>
      </c>
    </row>
    <row r="301" spans="1:2" x14ac:dyDescent="0.3">
      <c r="A301" t="s">
        <v>324</v>
      </c>
      <c r="B301">
        <v>76.900000000000006</v>
      </c>
    </row>
    <row r="302" spans="1:2" x14ac:dyDescent="0.3">
      <c r="A302" t="s">
        <v>325</v>
      </c>
    </row>
    <row r="303" spans="1:2" x14ac:dyDescent="0.3">
      <c r="A303" t="s">
        <v>326</v>
      </c>
    </row>
    <row r="304" spans="1:2" x14ac:dyDescent="0.3">
      <c r="A304" t="s">
        <v>327</v>
      </c>
      <c r="B304">
        <v>15.91</v>
      </c>
    </row>
    <row r="305" spans="1:2" x14ac:dyDescent="0.3">
      <c r="A305" t="s">
        <v>328</v>
      </c>
    </row>
    <row r="306" spans="1:2" x14ac:dyDescent="0.3">
      <c r="A306" t="s">
        <v>329</v>
      </c>
    </row>
    <row r="307" spans="1:2" x14ac:dyDescent="0.3">
      <c r="A307" t="s">
        <v>330</v>
      </c>
    </row>
    <row r="308" spans="1:2" x14ac:dyDescent="0.3">
      <c r="A308" t="s">
        <v>331</v>
      </c>
    </row>
    <row r="309" spans="1:2" x14ac:dyDescent="0.3">
      <c r="A309" t="s">
        <v>332</v>
      </c>
    </row>
    <row r="310" spans="1:2" x14ac:dyDescent="0.3">
      <c r="A310" t="s">
        <v>333</v>
      </c>
    </row>
    <row r="311" spans="1:2" x14ac:dyDescent="0.3">
      <c r="A311" t="s">
        <v>334</v>
      </c>
      <c r="B311">
        <v>9.6300000000000008</v>
      </c>
    </row>
    <row r="312" spans="1:2" x14ac:dyDescent="0.3">
      <c r="A312" t="s">
        <v>335</v>
      </c>
      <c r="B312">
        <v>1100</v>
      </c>
    </row>
    <row r="313" spans="1:2" x14ac:dyDescent="0.3">
      <c r="A313" t="s">
        <v>336</v>
      </c>
      <c r="B313">
        <v>69</v>
      </c>
    </row>
    <row r="314" spans="1:2" x14ac:dyDescent="0.3">
      <c r="A314" t="s">
        <v>337</v>
      </c>
    </row>
    <row r="315" spans="1:2" x14ac:dyDescent="0.3">
      <c r="A315" t="s">
        <v>338</v>
      </c>
    </row>
    <row r="316" spans="1:2" x14ac:dyDescent="0.3">
      <c r="A316" t="s">
        <v>339</v>
      </c>
      <c r="B316">
        <v>8.33</v>
      </c>
    </row>
    <row r="317" spans="1:2" x14ac:dyDescent="0.3">
      <c r="A317" t="s">
        <v>340</v>
      </c>
      <c r="B317">
        <v>103.55</v>
      </c>
    </row>
    <row r="318" spans="1:2" x14ac:dyDescent="0.3">
      <c r="A318" t="s">
        <v>341</v>
      </c>
      <c r="B318">
        <v>98.91</v>
      </c>
    </row>
    <row r="319" spans="1:2" x14ac:dyDescent="0.3">
      <c r="A319" t="s">
        <v>342</v>
      </c>
      <c r="B319">
        <v>132.65</v>
      </c>
    </row>
    <row r="320" spans="1:2" x14ac:dyDescent="0.3">
      <c r="A320" t="s">
        <v>343</v>
      </c>
    </row>
    <row r="321" spans="1:2" x14ac:dyDescent="0.3">
      <c r="A321" t="s">
        <v>344</v>
      </c>
      <c r="B321">
        <v>208</v>
      </c>
    </row>
    <row r="322" spans="1:2" x14ac:dyDescent="0.3">
      <c r="A322" t="s">
        <v>345</v>
      </c>
      <c r="B322">
        <v>12.31</v>
      </c>
    </row>
    <row r="323" spans="1:2" x14ac:dyDescent="0.3">
      <c r="A323" t="s">
        <v>346</v>
      </c>
      <c r="B323">
        <v>1095</v>
      </c>
    </row>
    <row r="324" spans="1:2" x14ac:dyDescent="0.3">
      <c r="A324" t="s">
        <v>347</v>
      </c>
      <c r="B324">
        <v>91</v>
      </c>
    </row>
    <row r="325" spans="1:2" x14ac:dyDescent="0.3">
      <c r="A325" t="s">
        <v>348</v>
      </c>
    </row>
    <row r="326" spans="1:2" x14ac:dyDescent="0.3">
      <c r="A326" t="s">
        <v>349</v>
      </c>
      <c r="B326">
        <v>8.16</v>
      </c>
    </row>
    <row r="327" spans="1:2" x14ac:dyDescent="0.3">
      <c r="A327" t="s">
        <v>350</v>
      </c>
      <c r="B327">
        <v>10.130000000000001</v>
      </c>
    </row>
    <row r="328" spans="1:2" x14ac:dyDescent="0.3">
      <c r="A328" t="s">
        <v>351</v>
      </c>
    </row>
    <row r="329" spans="1:2" x14ac:dyDescent="0.3">
      <c r="A329" t="s">
        <v>352</v>
      </c>
    </row>
    <row r="330" spans="1:2" x14ac:dyDescent="0.3">
      <c r="A330" t="s">
        <v>353</v>
      </c>
    </row>
    <row r="331" spans="1:2" x14ac:dyDescent="0.3">
      <c r="A331" t="s">
        <v>354</v>
      </c>
    </row>
    <row r="332" spans="1:2" x14ac:dyDescent="0.3">
      <c r="A332" t="s">
        <v>355</v>
      </c>
      <c r="B332">
        <v>76.2</v>
      </c>
    </row>
    <row r="333" spans="1:2" x14ac:dyDescent="0.3">
      <c r="A333" t="s">
        <v>356</v>
      </c>
      <c r="B333">
        <v>27</v>
      </c>
    </row>
    <row r="334" spans="1:2" x14ac:dyDescent="0.3">
      <c r="A334" t="s">
        <v>357</v>
      </c>
    </row>
    <row r="335" spans="1:2" x14ac:dyDescent="0.3">
      <c r="A335" t="s">
        <v>358</v>
      </c>
      <c r="B335">
        <v>10.24</v>
      </c>
    </row>
    <row r="336" spans="1:2" x14ac:dyDescent="0.3">
      <c r="A336" t="s">
        <v>359</v>
      </c>
      <c r="B336">
        <v>41.98</v>
      </c>
    </row>
    <row r="337" spans="1:2" x14ac:dyDescent="0.3">
      <c r="A337" t="s">
        <v>360</v>
      </c>
      <c r="B337">
        <v>61.19</v>
      </c>
    </row>
    <row r="338" spans="1:2" x14ac:dyDescent="0.3">
      <c r="A338" t="s">
        <v>580</v>
      </c>
      <c r="B338">
        <v>80.66</v>
      </c>
    </row>
    <row r="339" spans="1:2" x14ac:dyDescent="0.3">
      <c r="A339" t="s">
        <v>361</v>
      </c>
      <c r="B339">
        <v>100</v>
      </c>
    </row>
    <row r="340" spans="1:2" x14ac:dyDescent="0.3">
      <c r="A340" t="s">
        <v>362</v>
      </c>
    </row>
    <row r="341" spans="1:2" x14ac:dyDescent="0.3">
      <c r="A341" t="s">
        <v>363</v>
      </c>
      <c r="B341">
        <v>31.61</v>
      </c>
    </row>
    <row r="342" spans="1:2" x14ac:dyDescent="0.3">
      <c r="A342" t="s">
        <v>364</v>
      </c>
      <c r="B342">
        <v>49</v>
      </c>
    </row>
    <row r="343" spans="1:2" x14ac:dyDescent="0.3">
      <c r="A343" t="s">
        <v>365</v>
      </c>
      <c r="B343">
        <v>70.760000000000005</v>
      </c>
    </row>
    <row r="344" spans="1:2" x14ac:dyDescent="0.3">
      <c r="A344" t="s">
        <v>366</v>
      </c>
    </row>
    <row r="345" spans="1:2" x14ac:dyDescent="0.3">
      <c r="A345" t="s">
        <v>367</v>
      </c>
    </row>
    <row r="346" spans="1:2" x14ac:dyDescent="0.3">
      <c r="A346" t="s">
        <v>368</v>
      </c>
      <c r="B346">
        <v>8.31</v>
      </c>
    </row>
    <row r="347" spans="1:2" x14ac:dyDescent="0.3">
      <c r="A347" t="s">
        <v>369</v>
      </c>
      <c r="B347">
        <v>88.16</v>
      </c>
    </row>
    <row r="348" spans="1:2" x14ac:dyDescent="0.3">
      <c r="A348" t="s">
        <v>370</v>
      </c>
      <c r="B348">
        <v>7.84</v>
      </c>
    </row>
    <row r="349" spans="1:2" x14ac:dyDescent="0.3">
      <c r="A349" t="s">
        <v>371</v>
      </c>
      <c r="B349">
        <v>101.98</v>
      </c>
    </row>
    <row r="350" spans="1:2" x14ac:dyDescent="0.3">
      <c r="A350" t="s">
        <v>372</v>
      </c>
      <c r="B350">
        <v>46.76</v>
      </c>
    </row>
    <row r="351" spans="1:2" x14ac:dyDescent="0.3">
      <c r="A351" t="s">
        <v>373</v>
      </c>
      <c r="B351">
        <v>1000</v>
      </c>
    </row>
    <row r="352" spans="1:2" x14ac:dyDescent="0.3">
      <c r="A352" t="s">
        <v>374</v>
      </c>
      <c r="B352">
        <v>48</v>
      </c>
    </row>
    <row r="353" spans="1:2" x14ac:dyDescent="0.3">
      <c r="A353" t="s">
        <v>375</v>
      </c>
      <c r="B353">
        <v>60</v>
      </c>
    </row>
    <row r="354" spans="1:2" x14ac:dyDescent="0.3">
      <c r="A354" t="s">
        <v>376</v>
      </c>
      <c r="B354">
        <v>8.07</v>
      </c>
    </row>
    <row r="355" spans="1:2" x14ac:dyDescent="0.3">
      <c r="A355" t="s">
        <v>377</v>
      </c>
      <c r="B355">
        <v>54.98</v>
      </c>
    </row>
    <row r="356" spans="1:2" x14ac:dyDescent="0.3">
      <c r="A356" t="s">
        <v>378</v>
      </c>
      <c r="B356">
        <v>2325</v>
      </c>
    </row>
    <row r="357" spans="1:2" x14ac:dyDescent="0.3">
      <c r="A357" t="s">
        <v>379</v>
      </c>
      <c r="B357">
        <v>1.03</v>
      </c>
    </row>
    <row r="358" spans="1:2" x14ac:dyDescent="0.3">
      <c r="A358" t="s">
        <v>380</v>
      </c>
      <c r="B358">
        <v>34.99</v>
      </c>
    </row>
    <row r="359" spans="1:2" x14ac:dyDescent="0.3">
      <c r="A359" t="s">
        <v>381</v>
      </c>
      <c r="B359">
        <v>8.82</v>
      </c>
    </row>
    <row r="360" spans="1:2" x14ac:dyDescent="0.3">
      <c r="A360" t="s">
        <v>382</v>
      </c>
    </row>
    <row r="361" spans="1:2" x14ac:dyDescent="0.3">
      <c r="A361" t="s">
        <v>383</v>
      </c>
      <c r="B361">
        <v>74.010000000000005</v>
      </c>
    </row>
    <row r="362" spans="1:2" x14ac:dyDescent="0.3">
      <c r="A362" t="s">
        <v>384</v>
      </c>
    </row>
    <row r="363" spans="1:2" x14ac:dyDescent="0.3">
      <c r="A363" t="s">
        <v>385</v>
      </c>
    </row>
    <row r="364" spans="1:2" x14ac:dyDescent="0.3">
      <c r="A364" t="s">
        <v>386</v>
      </c>
    </row>
    <row r="365" spans="1:2" x14ac:dyDescent="0.3">
      <c r="A365" t="s">
        <v>387</v>
      </c>
    </row>
    <row r="366" spans="1:2" x14ac:dyDescent="0.3">
      <c r="A366" t="s">
        <v>388</v>
      </c>
    </row>
    <row r="367" spans="1:2" x14ac:dyDescent="0.3">
      <c r="A367" t="s">
        <v>389</v>
      </c>
    </row>
    <row r="368" spans="1:2" x14ac:dyDescent="0.3">
      <c r="A368" t="s">
        <v>390</v>
      </c>
    </row>
    <row r="369" spans="1:2" x14ac:dyDescent="0.3">
      <c r="A369" t="s">
        <v>391</v>
      </c>
      <c r="B369">
        <v>1.85</v>
      </c>
    </row>
    <row r="370" spans="1:2" x14ac:dyDescent="0.3">
      <c r="A370" t="s">
        <v>392</v>
      </c>
    </row>
    <row r="371" spans="1:2" x14ac:dyDescent="0.3">
      <c r="A371" t="s">
        <v>393</v>
      </c>
      <c r="B371">
        <v>49.33</v>
      </c>
    </row>
    <row r="372" spans="1:2" x14ac:dyDescent="0.3">
      <c r="A372" t="s">
        <v>394</v>
      </c>
    </row>
    <row r="373" spans="1:2" x14ac:dyDescent="0.3">
      <c r="A373" t="s">
        <v>395</v>
      </c>
      <c r="B373">
        <v>63.31</v>
      </c>
    </row>
    <row r="374" spans="1:2" x14ac:dyDescent="0.3">
      <c r="A374" t="s">
        <v>396</v>
      </c>
      <c r="B374">
        <v>75.41</v>
      </c>
    </row>
    <row r="375" spans="1:2" x14ac:dyDescent="0.3">
      <c r="A375" t="s">
        <v>397</v>
      </c>
      <c r="B375">
        <v>92.32</v>
      </c>
    </row>
    <row r="376" spans="1:2" x14ac:dyDescent="0.3">
      <c r="A376" t="s">
        <v>398</v>
      </c>
    </row>
    <row r="377" spans="1:2" x14ac:dyDescent="0.3">
      <c r="A377" t="s">
        <v>399</v>
      </c>
      <c r="B377">
        <v>54.99</v>
      </c>
    </row>
    <row r="378" spans="1:2" x14ac:dyDescent="0.3">
      <c r="A378" t="s">
        <v>400</v>
      </c>
      <c r="B378">
        <v>205.19</v>
      </c>
    </row>
    <row r="379" spans="1:2" x14ac:dyDescent="0.3">
      <c r="A379" t="s">
        <v>401</v>
      </c>
      <c r="B379">
        <v>40.39</v>
      </c>
    </row>
    <row r="380" spans="1:2" x14ac:dyDescent="0.3">
      <c r="A380" t="s">
        <v>402</v>
      </c>
      <c r="B380">
        <v>6.65</v>
      </c>
    </row>
    <row r="381" spans="1:2" x14ac:dyDescent="0.3">
      <c r="A381" t="s">
        <v>403</v>
      </c>
      <c r="B381">
        <v>944.99</v>
      </c>
    </row>
    <row r="382" spans="1:2" x14ac:dyDescent="0.3">
      <c r="A382" t="s">
        <v>404</v>
      </c>
      <c r="B382">
        <v>86.16</v>
      </c>
    </row>
    <row r="383" spans="1:2" x14ac:dyDescent="0.3">
      <c r="A383" t="s">
        <v>405</v>
      </c>
    </row>
    <row r="384" spans="1:2" x14ac:dyDescent="0.3">
      <c r="A384" t="s">
        <v>406</v>
      </c>
      <c r="B384">
        <v>51.7</v>
      </c>
    </row>
    <row r="385" spans="1:2" x14ac:dyDescent="0.3">
      <c r="A385" t="s">
        <v>407</v>
      </c>
      <c r="B385">
        <v>84.01</v>
      </c>
    </row>
    <row r="386" spans="1:2" x14ac:dyDescent="0.3">
      <c r="A386" t="s">
        <v>408</v>
      </c>
      <c r="B386">
        <v>43.63</v>
      </c>
    </row>
    <row r="387" spans="1:2" x14ac:dyDescent="0.3">
      <c r="A387" t="s">
        <v>409</v>
      </c>
      <c r="B387">
        <v>7.81</v>
      </c>
    </row>
    <row r="388" spans="1:2" x14ac:dyDescent="0.3">
      <c r="A388" t="s">
        <v>410</v>
      </c>
      <c r="B388">
        <v>95.25</v>
      </c>
    </row>
    <row r="389" spans="1:2" x14ac:dyDescent="0.3">
      <c r="A389" t="s">
        <v>411</v>
      </c>
      <c r="B389">
        <v>350.01</v>
      </c>
    </row>
    <row r="390" spans="1:2" x14ac:dyDescent="0.3">
      <c r="A390" t="s">
        <v>412</v>
      </c>
      <c r="B390">
        <v>9.61</v>
      </c>
    </row>
    <row r="391" spans="1:2" x14ac:dyDescent="0.3">
      <c r="A391" t="s">
        <v>413</v>
      </c>
    </row>
    <row r="392" spans="1:2" x14ac:dyDescent="0.3">
      <c r="A392" t="s">
        <v>414</v>
      </c>
      <c r="B392">
        <v>98</v>
      </c>
    </row>
    <row r="393" spans="1:2" x14ac:dyDescent="0.3">
      <c r="A393" t="s">
        <v>415</v>
      </c>
      <c r="B393">
        <v>127.96</v>
      </c>
    </row>
    <row r="394" spans="1:2" x14ac:dyDescent="0.3">
      <c r="A394" t="s">
        <v>416</v>
      </c>
      <c r="B394">
        <v>98.41</v>
      </c>
    </row>
    <row r="395" spans="1:2" x14ac:dyDescent="0.3">
      <c r="A395" t="s">
        <v>417</v>
      </c>
    </row>
    <row r="396" spans="1:2" x14ac:dyDescent="0.3">
      <c r="A396" t="s">
        <v>418</v>
      </c>
    </row>
    <row r="397" spans="1:2" x14ac:dyDescent="0.3">
      <c r="A397" t="s">
        <v>419</v>
      </c>
      <c r="B397">
        <v>8.19</v>
      </c>
    </row>
    <row r="398" spans="1:2" x14ac:dyDescent="0.3">
      <c r="A398" t="s">
        <v>420</v>
      </c>
      <c r="B398">
        <v>8.49</v>
      </c>
    </row>
    <row r="399" spans="1:2" x14ac:dyDescent="0.3">
      <c r="A399" t="s">
        <v>421</v>
      </c>
      <c r="B399">
        <v>77.790000000000006</v>
      </c>
    </row>
    <row r="400" spans="1:2" x14ac:dyDescent="0.3">
      <c r="A400" t="s">
        <v>422</v>
      </c>
      <c r="B400">
        <v>33.61</v>
      </c>
    </row>
    <row r="401" spans="1:2" x14ac:dyDescent="0.3">
      <c r="A401" t="s">
        <v>423</v>
      </c>
    </row>
    <row r="402" spans="1:2" x14ac:dyDescent="0.3">
      <c r="A402" t="s">
        <v>424</v>
      </c>
      <c r="B402">
        <v>82.1</v>
      </c>
    </row>
    <row r="403" spans="1:2" x14ac:dyDescent="0.3">
      <c r="A403" t="s">
        <v>425</v>
      </c>
      <c r="B403">
        <v>64.25</v>
      </c>
    </row>
    <row r="404" spans="1:2" x14ac:dyDescent="0.3">
      <c r="A404" t="s">
        <v>426</v>
      </c>
      <c r="B404">
        <v>5.33</v>
      </c>
    </row>
    <row r="405" spans="1:2" x14ac:dyDescent="0.3">
      <c r="A405" t="s">
        <v>427</v>
      </c>
      <c r="B405">
        <v>64.489999999999995</v>
      </c>
    </row>
    <row r="406" spans="1:2" x14ac:dyDescent="0.3">
      <c r="A406" t="s">
        <v>428</v>
      </c>
      <c r="B406">
        <v>102.96</v>
      </c>
    </row>
    <row r="407" spans="1:2" x14ac:dyDescent="0.3">
      <c r="A407" t="s">
        <v>429</v>
      </c>
      <c r="B407">
        <v>60.4</v>
      </c>
    </row>
    <row r="408" spans="1:2" x14ac:dyDescent="0.3">
      <c r="A408" t="s">
        <v>430</v>
      </c>
    </row>
    <row r="409" spans="1:2" x14ac:dyDescent="0.3">
      <c r="A409" t="s">
        <v>431</v>
      </c>
      <c r="B409">
        <v>50.05</v>
      </c>
    </row>
    <row r="410" spans="1:2" x14ac:dyDescent="0.3">
      <c r="A410" t="s">
        <v>432</v>
      </c>
      <c r="B410">
        <v>386.4</v>
      </c>
    </row>
    <row r="411" spans="1:2" x14ac:dyDescent="0.3">
      <c r="A411" t="s">
        <v>433</v>
      </c>
      <c r="B411">
        <v>84.72</v>
      </c>
    </row>
    <row r="412" spans="1:2" x14ac:dyDescent="0.3">
      <c r="A412" t="s">
        <v>434</v>
      </c>
      <c r="B412">
        <v>77.180000000000007</v>
      </c>
    </row>
    <row r="413" spans="1:2" x14ac:dyDescent="0.3">
      <c r="A413" t="s">
        <v>435</v>
      </c>
      <c r="B413">
        <v>1009.99</v>
      </c>
    </row>
    <row r="414" spans="1:2" x14ac:dyDescent="0.3">
      <c r="A414" t="s">
        <v>436</v>
      </c>
      <c r="B414">
        <v>8.19</v>
      </c>
    </row>
    <row r="415" spans="1:2" x14ac:dyDescent="0.3">
      <c r="A415" t="s">
        <v>437</v>
      </c>
    </row>
    <row r="416" spans="1:2" x14ac:dyDescent="0.3">
      <c r="A416" t="s">
        <v>438</v>
      </c>
      <c r="B416">
        <v>9.1</v>
      </c>
    </row>
    <row r="417" spans="1:2" x14ac:dyDescent="0.3">
      <c r="A417" t="s">
        <v>439</v>
      </c>
      <c r="B417">
        <v>81.680000000000007</v>
      </c>
    </row>
    <row r="418" spans="1:2" x14ac:dyDescent="0.3">
      <c r="A418" t="s">
        <v>440</v>
      </c>
      <c r="B418">
        <v>87.28</v>
      </c>
    </row>
    <row r="419" spans="1:2" x14ac:dyDescent="0.3">
      <c r="A419" t="s">
        <v>441</v>
      </c>
    </row>
    <row r="420" spans="1:2" x14ac:dyDescent="0.3">
      <c r="A420" t="s">
        <v>442</v>
      </c>
      <c r="B420">
        <v>190</v>
      </c>
    </row>
    <row r="421" spans="1:2" x14ac:dyDescent="0.3">
      <c r="A421" t="s">
        <v>443</v>
      </c>
      <c r="B421">
        <v>1012.59</v>
      </c>
    </row>
    <row r="422" spans="1:2" x14ac:dyDescent="0.3">
      <c r="A422" t="s">
        <v>444</v>
      </c>
      <c r="B422">
        <v>92.79</v>
      </c>
    </row>
    <row r="423" spans="1:2" x14ac:dyDescent="0.3">
      <c r="A423" t="s">
        <v>445</v>
      </c>
      <c r="B423">
        <v>134.85</v>
      </c>
    </row>
    <row r="424" spans="1:2" x14ac:dyDescent="0.3">
      <c r="A424" t="s">
        <v>446</v>
      </c>
      <c r="B424">
        <v>1100</v>
      </c>
    </row>
    <row r="425" spans="1:2" x14ac:dyDescent="0.3">
      <c r="A425" t="s">
        <v>447</v>
      </c>
      <c r="B425">
        <v>0</v>
      </c>
    </row>
    <row r="426" spans="1:2" x14ac:dyDescent="0.3">
      <c r="A426" t="s">
        <v>448</v>
      </c>
      <c r="B426">
        <v>34.04</v>
      </c>
    </row>
    <row r="427" spans="1:2" x14ac:dyDescent="0.3">
      <c r="A427" t="s">
        <v>449</v>
      </c>
      <c r="B427">
        <v>8.93</v>
      </c>
    </row>
    <row r="428" spans="1:2" x14ac:dyDescent="0.3">
      <c r="A428" t="s">
        <v>450</v>
      </c>
      <c r="B428">
        <v>4.75</v>
      </c>
    </row>
    <row r="429" spans="1:2" x14ac:dyDescent="0.3">
      <c r="A429" t="s">
        <v>451</v>
      </c>
      <c r="B429">
        <v>2.7</v>
      </c>
    </row>
    <row r="430" spans="1:2" x14ac:dyDescent="0.3">
      <c r="A430" t="s">
        <v>452</v>
      </c>
    </row>
    <row r="431" spans="1:2" x14ac:dyDescent="0.3">
      <c r="A431" t="s">
        <v>453</v>
      </c>
    </row>
    <row r="432" spans="1:2" x14ac:dyDescent="0.3">
      <c r="A432" t="s">
        <v>454</v>
      </c>
      <c r="B432">
        <v>100</v>
      </c>
    </row>
    <row r="433" spans="1:2" x14ac:dyDescent="0.3">
      <c r="A433" t="s">
        <v>455</v>
      </c>
      <c r="B433">
        <v>49.99</v>
      </c>
    </row>
    <row r="434" spans="1:2" x14ac:dyDescent="0.3">
      <c r="A434" t="s">
        <v>456</v>
      </c>
    </row>
    <row r="435" spans="1:2" x14ac:dyDescent="0.3">
      <c r="A435" t="s">
        <v>457</v>
      </c>
      <c r="B435">
        <v>35</v>
      </c>
    </row>
    <row r="436" spans="1:2" x14ac:dyDescent="0.3">
      <c r="A436" t="s">
        <v>458</v>
      </c>
      <c r="B436">
        <v>905</v>
      </c>
    </row>
    <row r="437" spans="1:2" x14ac:dyDescent="0.3">
      <c r="A437" t="s">
        <v>459</v>
      </c>
      <c r="B437">
        <v>10.51</v>
      </c>
    </row>
    <row r="438" spans="1:2" x14ac:dyDescent="0.3">
      <c r="A438" t="s">
        <v>460</v>
      </c>
    </row>
    <row r="439" spans="1:2" x14ac:dyDescent="0.3">
      <c r="A439" t="s">
        <v>461</v>
      </c>
      <c r="B439">
        <v>2.86</v>
      </c>
    </row>
    <row r="440" spans="1:2" x14ac:dyDescent="0.3">
      <c r="A440" t="s">
        <v>462</v>
      </c>
      <c r="B440">
        <v>78.5</v>
      </c>
    </row>
    <row r="441" spans="1:2" x14ac:dyDescent="0.3">
      <c r="A441" t="s">
        <v>463</v>
      </c>
      <c r="B441">
        <v>9.57</v>
      </c>
    </row>
    <row r="442" spans="1:2" x14ac:dyDescent="0.3">
      <c r="A442" t="s">
        <v>464</v>
      </c>
      <c r="B442">
        <v>81.2</v>
      </c>
    </row>
    <row r="443" spans="1:2" x14ac:dyDescent="0.3">
      <c r="A443" t="s">
        <v>465</v>
      </c>
    </row>
    <row r="444" spans="1:2" x14ac:dyDescent="0.3">
      <c r="A444" t="s">
        <v>466</v>
      </c>
      <c r="B444">
        <v>8.42</v>
      </c>
    </row>
    <row r="445" spans="1:2" x14ac:dyDescent="0.3">
      <c r="A445" t="s">
        <v>467</v>
      </c>
      <c r="B445">
        <v>70.05</v>
      </c>
    </row>
    <row r="446" spans="1:2" x14ac:dyDescent="0.3">
      <c r="A446" t="s">
        <v>468</v>
      </c>
      <c r="B446">
        <v>9.69</v>
      </c>
    </row>
    <row r="447" spans="1:2" x14ac:dyDescent="0.3">
      <c r="A447" t="s">
        <v>469</v>
      </c>
      <c r="B447">
        <v>1.23</v>
      </c>
    </row>
    <row r="448" spans="1:2" x14ac:dyDescent="0.3">
      <c r="A448" t="s">
        <v>470</v>
      </c>
      <c r="B448">
        <v>9.26</v>
      </c>
    </row>
    <row r="449" spans="1:2" x14ac:dyDescent="0.3">
      <c r="A449" t="s">
        <v>471</v>
      </c>
      <c r="B449">
        <v>126</v>
      </c>
    </row>
    <row r="450" spans="1:2" x14ac:dyDescent="0.3">
      <c r="A450" t="s">
        <v>472</v>
      </c>
      <c r="B450">
        <v>1051.3499999999999</v>
      </c>
    </row>
    <row r="451" spans="1:2" x14ac:dyDescent="0.3">
      <c r="A451" t="s">
        <v>473</v>
      </c>
      <c r="B451">
        <v>1266.67</v>
      </c>
    </row>
    <row r="452" spans="1:2" x14ac:dyDescent="0.3">
      <c r="A452" t="s">
        <v>474</v>
      </c>
      <c r="B452">
        <v>144</v>
      </c>
    </row>
    <row r="453" spans="1:2" x14ac:dyDescent="0.3">
      <c r="A453" t="s">
        <v>475</v>
      </c>
      <c r="B453">
        <v>35.549999999999997</v>
      </c>
    </row>
    <row r="454" spans="1:2" x14ac:dyDescent="0.3">
      <c r="A454" t="s">
        <v>476</v>
      </c>
      <c r="B454">
        <v>8.42</v>
      </c>
    </row>
    <row r="455" spans="1:2" x14ac:dyDescent="0.3">
      <c r="A455" t="s">
        <v>477</v>
      </c>
    </row>
    <row r="456" spans="1:2" x14ac:dyDescent="0.3">
      <c r="A456" t="s">
        <v>478</v>
      </c>
      <c r="B456">
        <v>141.96</v>
      </c>
    </row>
    <row r="457" spans="1:2" x14ac:dyDescent="0.3">
      <c r="A457" t="s">
        <v>479</v>
      </c>
    </row>
    <row r="458" spans="1:2" x14ac:dyDescent="0.3">
      <c r="A458" t="s">
        <v>480</v>
      </c>
      <c r="B458">
        <v>10.5</v>
      </c>
    </row>
    <row r="459" spans="1:2" x14ac:dyDescent="0.3">
      <c r="A459" t="s">
        <v>481</v>
      </c>
      <c r="B459">
        <v>80.2</v>
      </c>
    </row>
    <row r="460" spans="1:2" x14ac:dyDescent="0.3">
      <c r="A460" t="s">
        <v>482</v>
      </c>
      <c r="B460">
        <v>85.93</v>
      </c>
    </row>
    <row r="461" spans="1:2" x14ac:dyDescent="0.3">
      <c r="A461" t="s">
        <v>483</v>
      </c>
    </row>
    <row r="462" spans="1:2" x14ac:dyDescent="0.3">
      <c r="A462" t="s">
        <v>484</v>
      </c>
      <c r="B462">
        <v>249.33</v>
      </c>
    </row>
    <row r="463" spans="1:2" x14ac:dyDescent="0.3">
      <c r="A463" t="s">
        <v>485</v>
      </c>
      <c r="B463">
        <v>80.599999999999994</v>
      </c>
    </row>
    <row r="464" spans="1:2" x14ac:dyDescent="0.3">
      <c r="A464" t="s">
        <v>486</v>
      </c>
      <c r="B464">
        <v>69.790000000000006</v>
      </c>
    </row>
    <row r="465" spans="1:2" x14ac:dyDescent="0.3">
      <c r="A465" t="s">
        <v>487</v>
      </c>
      <c r="B465">
        <v>3.05</v>
      </c>
    </row>
    <row r="466" spans="1:2" x14ac:dyDescent="0.3">
      <c r="A466" t="s">
        <v>488</v>
      </c>
    </row>
    <row r="467" spans="1:2" x14ac:dyDescent="0.3">
      <c r="A467" t="s">
        <v>489</v>
      </c>
      <c r="B467">
        <v>63.04</v>
      </c>
    </row>
    <row r="468" spans="1:2" x14ac:dyDescent="0.3">
      <c r="A468" t="s">
        <v>490</v>
      </c>
      <c r="B468">
        <v>95</v>
      </c>
    </row>
    <row r="469" spans="1:2" x14ac:dyDescent="0.3">
      <c r="A469" t="s">
        <v>491</v>
      </c>
      <c r="B469">
        <v>157.26</v>
      </c>
    </row>
    <row r="470" spans="1:2" x14ac:dyDescent="0.3">
      <c r="A470" t="s">
        <v>492</v>
      </c>
      <c r="B470">
        <v>101.19</v>
      </c>
    </row>
    <row r="471" spans="1:2" x14ac:dyDescent="0.3">
      <c r="A471" t="s">
        <v>493</v>
      </c>
    </row>
    <row r="472" spans="1:2" x14ac:dyDescent="0.3">
      <c r="A472" t="s">
        <v>494</v>
      </c>
      <c r="B472">
        <v>8.9700000000000006</v>
      </c>
    </row>
    <row r="473" spans="1:2" x14ac:dyDescent="0.3">
      <c r="A473" t="s">
        <v>495</v>
      </c>
      <c r="B473">
        <v>97</v>
      </c>
    </row>
    <row r="474" spans="1:2" x14ac:dyDescent="0.3">
      <c r="A474" t="s">
        <v>496</v>
      </c>
      <c r="B474">
        <v>82.72</v>
      </c>
    </row>
    <row r="475" spans="1:2" x14ac:dyDescent="0.3">
      <c r="A475" t="s">
        <v>497</v>
      </c>
      <c r="B475">
        <v>94.07</v>
      </c>
    </row>
    <row r="476" spans="1:2" x14ac:dyDescent="0.3">
      <c r="A476" t="s">
        <v>498</v>
      </c>
    </row>
    <row r="477" spans="1:2" x14ac:dyDescent="0.3">
      <c r="A477" t="s">
        <v>499</v>
      </c>
      <c r="B477">
        <v>75.98</v>
      </c>
    </row>
    <row r="478" spans="1:2" x14ac:dyDescent="0.3">
      <c r="A478" t="s">
        <v>500</v>
      </c>
      <c r="B478">
        <v>33.700000000000003</v>
      </c>
    </row>
    <row r="479" spans="1:2" x14ac:dyDescent="0.3">
      <c r="A479" t="s">
        <v>501</v>
      </c>
      <c r="B479">
        <v>77.31</v>
      </c>
    </row>
    <row r="480" spans="1:2" x14ac:dyDescent="0.3">
      <c r="A480" t="s">
        <v>502</v>
      </c>
      <c r="B480">
        <v>60.54</v>
      </c>
    </row>
    <row r="481" spans="1:2" x14ac:dyDescent="0.3">
      <c r="A481" t="s">
        <v>503</v>
      </c>
      <c r="B481">
        <v>7.05</v>
      </c>
    </row>
    <row r="482" spans="1:2" x14ac:dyDescent="0.3">
      <c r="A482" t="s">
        <v>504</v>
      </c>
      <c r="B482">
        <v>67.87</v>
      </c>
    </row>
    <row r="483" spans="1:2" x14ac:dyDescent="0.3">
      <c r="A483" t="s">
        <v>505</v>
      </c>
      <c r="B483">
        <v>445.76</v>
      </c>
    </row>
    <row r="484" spans="1:2" x14ac:dyDescent="0.3">
      <c r="A484" t="s">
        <v>506</v>
      </c>
      <c r="B484">
        <v>7.6</v>
      </c>
    </row>
    <row r="485" spans="1:2" x14ac:dyDescent="0.3">
      <c r="A485" t="s">
        <v>507</v>
      </c>
      <c r="B485">
        <v>9.44</v>
      </c>
    </row>
    <row r="486" spans="1:2" x14ac:dyDescent="0.3">
      <c r="A486" t="s">
        <v>508</v>
      </c>
      <c r="B486">
        <v>101.41</v>
      </c>
    </row>
    <row r="487" spans="1:2" x14ac:dyDescent="0.3">
      <c r="A487" t="s">
        <v>509</v>
      </c>
      <c r="B487">
        <v>74.8</v>
      </c>
    </row>
    <row r="488" spans="1:2" x14ac:dyDescent="0.3">
      <c r="A488" t="s">
        <v>510</v>
      </c>
      <c r="B488">
        <v>9.4</v>
      </c>
    </row>
    <row r="489" spans="1:2" x14ac:dyDescent="0.3">
      <c r="A489" t="s">
        <v>511</v>
      </c>
      <c r="B489">
        <v>8.25</v>
      </c>
    </row>
    <row r="490" spans="1:2" x14ac:dyDescent="0.3">
      <c r="A490" t="s">
        <v>512</v>
      </c>
      <c r="B490">
        <v>11</v>
      </c>
    </row>
    <row r="491" spans="1:2" x14ac:dyDescent="0.3">
      <c r="A491" t="s">
        <v>513</v>
      </c>
    </row>
    <row r="492" spans="1:2" x14ac:dyDescent="0.3">
      <c r="A492" t="s">
        <v>514</v>
      </c>
      <c r="B492">
        <v>90.03</v>
      </c>
    </row>
    <row r="493" spans="1:2" x14ac:dyDescent="0.3">
      <c r="A493" t="s">
        <v>515</v>
      </c>
      <c r="B493">
        <v>4.9400000000000004</v>
      </c>
    </row>
    <row r="494" spans="1:2" x14ac:dyDescent="0.3">
      <c r="A494" t="s">
        <v>516</v>
      </c>
      <c r="B494">
        <v>107.36</v>
      </c>
    </row>
    <row r="495" spans="1:2" x14ac:dyDescent="0.3">
      <c r="A495" t="s">
        <v>517</v>
      </c>
      <c r="B495">
        <v>5.62</v>
      </c>
    </row>
    <row r="496" spans="1:2" x14ac:dyDescent="0.3">
      <c r="A496" t="s">
        <v>518</v>
      </c>
      <c r="B496">
        <v>155.02000000000001</v>
      </c>
    </row>
    <row r="497" spans="1:2" x14ac:dyDescent="0.3">
      <c r="A497" t="s">
        <v>519</v>
      </c>
    </row>
    <row r="498" spans="1:2" x14ac:dyDescent="0.3">
      <c r="A498" t="s">
        <v>520</v>
      </c>
      <c r="B498">
        <v>77.02</v>
      </c>
    </row>
    <row r="499" spans="1:2" x14ac:dyDescent="0.3">
      <c r="A499" t="s">
        <v>521</v>
      </c>
      <c r="B499">
        <v>22.59</v>
      </c>
    </row>
    <row r="500" spans="1:2" x14ac:dyDescent="0.3">
      <c r="A500" t="s">
        <v>522</v>
      </c>
      <c r="B500">
        <v>77.540000000000006</v>
      </c>
    </row>
    <row r="501" spans="1:2" x14ac:dyDescent="0.3">
      <c r="A501" t="s">
        <v>523</v>
      </c>
      <c r="B501">
        <v>6.85</v>
      </c>
    </row>
    <row r="502" spans="1:2" x14ac:dyDescent="0.3">
      <c r="A502" t="s">
        <v>524</v>
      </c>
    </row>
    <row r="503" spans="1:2" x14ac:dyDescent="0.3">
      <c r="A503" t="s">
        <v>525</v>
      </c>
      <c r="B503">
        <v>73.37</v>
      </c>
    </row>
    <row r="504" spans="1:2" x14ac:dyDescent="0.3">
      <c r="A504" t="s">
        <v>526</v>
      </c>
      <c r="B504">
        <v>2.4900000000000002</v>
      </c>
    </row>
    <row r="505" spans="1:2" x14ac:dyDescent="0.3">
      <c r="A505" t="s">
        <v>527</v>
      </c>
      <c r="B505">
        <v>87.4</v>
      </c>
    </row>
    <row r="506" spans="1:2" x14ac:dyDescent="0.3">
      <c r="A506" t="s">
        <v>528</v>
      </c>
      <c r="B506">
        <v>65.900000000000006</v>
      </c>
    </row>
    <row r="507" spans="1:2" x14ac:dyDescent="0.3">
      <c r="A507" t="s">
        <v>529</v>
      </c>
      <c r="B507">
        <v>9.48</v>
      </c>
    </row>
    <row r="508" spans="1:2" x14ac:dyDescent="0.3">
      <c r="A508" t="s">
        <v>530</v>
      </c>
      <c r="B508">
        <v>84.58</v>
      </c>
    </row>
    <row r="509" spans="1:2" x14ac:dyDescent="0.3">
      <c r="A509" t="s">
        <v>531</v>
      </c>
    </row>
    <row r="510" spans="1:2" x14ac:dyDescent="0.3">
      <c r="A510" t="s">
        <v>532</v>
      </c>
      <c r="B510">
        <v>90.07</v>
      </c>
    </row>
    <row r="511" spans="1:2" x14ac:dyDescent="0.3">
      <c r="A511" t="s">
        <v>533</v>
      </c>
      <c r="B511">
        <v>683</v>
      </c>
    </row>
    <row r="512" spans="1:2" x14ac:dyDescent="0.3">
      <c r="A512" t="s">
        <v>534</v>
      </c>
      <c r="B512">
        <v>8.9600000000000009</v>
      </c>
    </row>
    <row r="513" spans="1:2" x14ac:dyDescent="0.3">
      <c r="A513" t="s">
        <v>535</v>
      </c>
      <c r="B513">
        <v>49.9</v>
      </c>
    </row>
    <row r="514" spans="1:2" x14ac:dyDescent="0.3">
      <c r="A514" t="s">
        <v>536</v>
      </c>
      <c r="B514">
        <v>2.1</v>
      </c>
    </row>
    <row r="515" spans="1:2" x14ac:dyDescent="0.3">
      <c r="A515" t="s">
        <v>537</v>
      </c>
      <c r="B515">
        <v>50</v>
      </c>
    </row>
    <row r="516" spans="1:2" x14ac:dyDescent="0.3">
      <c r="A516" t="s">
        <v>538</v>
      </c>
      <c r="B516">
        <v>7.98</v>
      </c>
    </row>
    <row r="517" spans="1:2" x14ac:dyDescent="0.3">
      <c r="A517" t="s">
        <v>539</v>
      </c>
      <c r="B517">
        <v>84.08</v>
      </c>
    </row>
    <row r="518" spans="1:2" x14ac:dyDescent="0.3">
      <c r="A518" t="s">
        <v>540</v>
      </c>
      <c r="B518">
        <v>8.77</v>
      </c>
    </row>
    <row r="519" spans="1:2" x14ac:dyDescent="0.3">
      <c r="A519" t="s">
        <v>541</v>
      </c>
    </row>
    <row r="520" spans="1:2" x14ac:dyDescent="0.3">
      <c r="A520" t="s">
        <v>542</v>
      </c>
      <c r="B520">
        <v>73.900000000000006</v>
      </c>
    </row>
    <row r="521" spans="1:2" x14ac:dyDescent="0.3">
      <c r="A521" t="s">
        <v>543</v>
      </c>
      <c r="B521">
        <v>100.8</v>
      </c>
    </row>
    <row r="522" spans="1:2" x14ac:dyDescent="0.3">
      <c r="A522" t="s">
        <v>544</v>
      </c>
      <c r="B522">
        <v>105.4</v>
      </c>
    </row>
    <row r="523" spans="1:2" x14ac:dyDescent="0.3">
      <c r="A523" t="s">
        <v>545</v>
      </c>
    </row>
    <row r="524" spans="1:2" x14ac:dyDescent="0.3">
      <c r="A524" t="s">
        <v>546</v>
      </c>
      <c r="B524">
        <v>6.24</v>
      </c>
    </row>
    <row r="525" spans="1:2" x14ac:dyDescent="0.3">
      <c r="A525" t="s">
        <v>547</v>
      </c>
    </row>
    <row r="526" spans="1:2" x14ac:dyDescent="0.3">
      <c r="A526" t="s">
        <v>548</v>
      </c>
    </row>
    <row r="527" spans="1:2" x14ac:dyDescent="0.3">
      <c r="A527" t="s">
        <v>549</v>
      </c>
      <c r="B527">
        <v>59.5</v>
      </c>
    </row>
    <row r="528" spans="1:2" x14ac:dyDescent="0.3">
      <c r="A528" t="s">
        <v>550</v>
      </c>
      <c r="B528">
        <v>10.39</v>
      </c>
    </row>
    <row r="529" spans="1:2" x14ac:dyDescent="0.3">
      <c r="A529" t="s">
        <v>551</v>
      </c>
      <c r="B529">
        <v>9.49</v>
      </c>
    </row>
    <row r="530" spans="1:2" x14ac:dyDescent="0.3">
      <c r="A530" t="s">
        <v>552</v>
      </c>
      <c r="B530">
        <v>89.89</v>
      </c>
    </row>
    <row r="531" spans="1:2" x14ac:dyDescent="0.3">
      <c r="A531" t="s">
        <v>553</v>
      </c>
      <c r="B531">
        <v>520</v>
      </c>
    </row>
    <row r="532" spans="1:2" x14ac:dyDescent="0.3">
      <c r="A532" t="s">
        <v>601</v>
      </c>
    </row>
    <row r="533" spans="1:2" x14ac:dyDescent="0.3">
      <c r="A533" t="s">
        <v>602</v>
      </c>
    </row>
    <row r="534" spans="1:2" x14ac:dyDescent="0.3">
      <c r="A534" t="s">
        <v>603</v>
      </c>
    </row>
    <row r="535" spans="1:2" x14ac:dyDescent="0.3">
      <c r="A535" t="s">
        <v>604</v>
      </c>
    </row>
    <row r="536" spans="1:2" x14ac:dyDescent="0.3">
      <c r="A536" t="s">
        <v>605</v>
      </c>
    </row>
    <row r="537" spans="1:2" x14ac:dyDescent="0.3">
      <c r="A537" t="s">
        <v>606</v>
      </c>
    </row>
    <row r="538" spans="1:2" x14ac:dyDescent="0.3">
      <c r="A538" t="s">
        <v>607</v>
      </c>
    </row>
    <row r="539" spans="1:2" x14ac:dyDescent="0.3">
      <c r="A539" t="s">
        <v>608</v>
      </c>
    </row>
    <row r="540" spans="1:2" x14ac:dyDescent="0.3">
      <c r="A540" t="s">
        <v>609</v>
      </c>
    </row>
    <row r="541" spans="1:2" x14ac:dyDescent="0.3">
      <c r="A541" t="s">
        <v>610</v>
      </c>
    </row>
    <row r="542" spans="1:2" x14ac:dyDescent="0.3">
      <c r="A542" t="s">
        <v>611</v>
      </c>
    </row>
    <row r="543" spans="1:2" x14ac:dyDescent="0.3">
      <c r="A543" t="s">
        <v>612</v>
      </c>
      <c r="B543">
        <v>6.51</v>
      </c>
    </row>
    <row r="544" spans="1:2" x14ac:dyDescent="0.3">
      <c r="A544" t="s">
        <v>613</v>
      </c>
      <c r="B544">
        <v>3.98</v>
      </c>
    </row>
    <row r="545" spans="1:2" x14ac:dyDescent="0.3">
      <c r="A545" t="s">
        <v>614</v>
      </c>
      <c r="B545">
        <v>4.0599999999999996</v>
      </c>
    </row>
    <row r="546" spans="1:2" x14ac:dyDescent="0.3">
      <c r="A546" t="s">
        <v>615</v>
      </c>
      <c r="B546">
        <v>20.05</v>
      </c>
    </row>
    <row r="547" spans="1:2" x14ac:dyDescent="0.3">
      <c r="A547" t="s">
        <v>616</v>
      </c>
    </row>
    <row r="548" spans="1:2" x14ac:dyDescent="0.3">
      <c r="A548" t="s">
        <v>617</v>
      </c>
    </row>
    <row r="549" spans="1:2" x14ac:dyDescent="0.3">
      <c r="A549" t="s">
        <v>618</v>
      </c>
    </row>
    <row r="550" spans="1:2" x14ac:dyDescent="0.3">
      <c r="A550" t="s">
        <v>619</v>
      </c>
    </row>
    <row r="551" spans="1:2" x14ac:dyDescent="0.3">
      <c r="A551" t="s">
        <v>620</v>
      </c>
      <c r="B551">
        <v>3.88</v>
      </c>
    </row>
    <row r="552" spans="1:2" x14ac:dyDescent="0.3">
      <c r="A552" t="s">
        <v>621</v>
      </c>
    </row>
    <row r="553" spans="1:2" x14ac:dyDescent="0.3">
      <c r="A553" t="s">
        <v>622</v>
      </c>
    </row>
    <row r="554" spans="1:2" x14ac:dyDescent="0.3">
      <c r="A554" t="s">
        <v>623</v>
      </c>
    </row>
    <row r="555" spans="1:2" x14ac:dyDescent="0.3">
      <c r="A555" t="s">
        <v>624</v>
      </c>
      <c r="B555">
        <v>7.66</v>
      </c>
    </row>
    <row r="556" spans="1:2" x14ac:dyDescent="0.3">
      <c r="A556" t="s">
        <v>625</v>
      </c>
    </row>
    <row r="557" spans="1:2" x14ac:dyDescent="0.3">
      <c r="A557" t="s">
        <v>626</v>
      </c>
      <c r="B557">
        <v>18.05</v>
      </c>
    </row>
    <row r="558" spans="1:2" x14ac:dyDescent="0.3">
      <c r="A558" t="s">
        <v>627</v>
      </c>
    </row>
    <row r="559" spans="1:2" x14ac:dyDescent="0.3">
      <c r="A559" t="s">
        <v>628</v>
      </c>
    </row>
    <row r="560" spans="1:2" x14ac:dyDescent="0.3">
      <c r="A560" t="s">
        <v>629</v>
      </c>
    </row>
    <row r="561" spans="1:2" x14ac:dyDescent="0.3">
      <c r="A561" t="s">
        <v>630</v>
      </c>
    </row>
    <row r="562" spans="1:2" x14ac:dyDescent="0.3">
      <c r="A562" t="s">
        <v>631</v>
      </c>
      <c r="B562">
        <v>3.7</v>
      </c>
    </row>
    <row r="563" spans="1:2" x14ac:dyDescent="0.3">
      <c r="A563" t="s">
        <v>632</v>
      </c>
    </row>
    <row r="564" spans="1:2" x14ac:dyDescent="0.3">
      <c r="A564" t="s">
        <v>633</v>
      </c>
    </row>
    <row r="565" spans="1:2" x14ac:dyDescent="0.3">
      <c r="A565" t="s">
        <v>634</v>
      </c>
      <c r="B565">
        <v>18.8</v>
      </c>
    </row>
    <row r="566" spans="1:2" x14ac:dyDescent="0.3">
      <c r="A566" t="s">
        <v>635</v>
      </c>
      <c r="B566">
        <v>17.489999999999998</v>
      </c>
    </row>
    <row r="567" spans="1:2" x14ac:dyDescent="0.3">
      <c r="A567" t="s">
        <v>636</v>
      </c>
    </row>
    <row r="568" spans="1:2" x14ac:dyDescent="0.3">
      <c r="A568" t="s">
        <v>637</v>
      </c>
      <c r="B568">
        <v>7.39</v>
      </c>
    </row>
    <row r="569" spans="1:2" x14ac:dyDescent="0.3">
      <c r="A569" t="s">
        <v>638</v>
      </c>
    </row>
    <row r="570" spans="1:2" x14ac:dyDescent="0.3">
      <c r="A570" t="s">
        <v>639</v>
      </c>
    </row>
    <row r="571" spans="1:2" x14ac:dyDescent="0.3">
      <c r="A571" t="s">
        <v>640</v>
      </c>
      <c r="B571">
        <v>15</v>
      </c>
    </row>
    <row r="572" spans="1:2" x14ac:dyDescent="0.3">
      <c r="A572" t="s">
        <v>641</v>
      </c>
      <c r="B572">
        <v>1.18</v>
      </c>
    </row>
    <row r="573" spans="1:2" x14ac:dyDescent="0.3">
      <c r="A573" t="s">
        <v>642</v>
      </c>
      <c r="B573">
        <v>17</v>
      </c>
    </row>
    <row r="574" spans="1:2" x14ac:dyDescent="0.3">
      <c r="A574" t="s">
        <v>643</v>
      </c>
    </row>
    <row r="575" spans="1:2" x14ac:dyDescent="0.3">
      <c r="A575" t="s">
        <v>644</v>
      </c>
    </row>
    <row r="576" spans="1:2" x14ac:dyDescent="0.3">
      <c r="A576" t="s">
        <v>645</v>
      </c>
    </row>
    <row r="577" spans="1:2" x14ac:dyDescent="0.3">
      <c r="A577" t="s">
        <v>646</v>
      </c>
    </row>
    <row r="578" spans="1:2" x14ac:dyDescent="0.3">
      <c r="A578" t="s">
        <v>647</v>
      </c>
    </row>
    <row r="579" spans="1:2" x14ac:dyDescent="0.3">
      <c r="A579" t="s">
        <v>648</v>
      </c>
    </row>
    <row r="580" spans="1:2" x14ac:dyDescent="0.3">
      <c r="A580" t="s">
        <v>649</v>
      </c>
    </row>
    <row r="581" spans="1:2" x14ac:dyDescent="0.3">
      <c r="A581" t="s">
        <v>650</v>
      </c>
    </row>
    <row r="582" spans="1:2" x14ac:dyDescent="0.3">
      <c r="A582" t="s">
        <v>651</v>
      </c>
      <c r="B582">
        <v>12.35</v>
      </c>
    </row>
    <row r="583" spans="1:2" x14ac:dyDescent="0.3">
      <c r="A583" t="s">
        <v>652</v>
      </c>
    </row>
    <row r="584" spans="1:2" x14ac:dyDescent="0.3">
      <c r="A584" t="s">
        <v>653</v>
      </c>
      <c r="B584">
        <v>75.11</v>
      </c>
    </row>
    <row r="585" spans="1:2" x14ac:dyDescent="0.3">
      <c r="A585" t="s">
        <v>654</v>
      </c>
    </row>
    <row r="586" spans="1:2" x14ac:dyDescent="0.3">
      <c r="A586" t="s">
        <v>655</v>
      </c>
    </row>
    <row r="587" spans="1:2" x14ac:dyDescent="0.3">
      <c r="A587" t="s">
        <v>656</v>
      </c>
    </row>
    <row r="588" spans="1:2" x14ac:dyDescent="0.3">
      <c r="A588" t="s">
        <v>657</v>
      </c>
    </row>
    <row r="589" spans="1:2" x14ac:dyDescent="0.3">
      <c r="A589" t="s">
        <v>658</v>
      </c>
      <c r="B589">
        <v>2.7</v>
      </c>
    </row>
    <row r="590" spans="1:2" x14ac:dyDescent="0.3">
      <c r="A590" t="s">
        <v>659</v>
      </c>
      <c r="B590">
        <v>53.78</v>
      </c>
    </row>
    <row r="591" spans="1:2" x14ac:dyDescent="0.3">
      <c r="A591" t="s">
        <v>660</v>
      </c>
      <c r="B591">
        <v>9215</v>
      </c>
    </row>
    <row r="592" spans="1:2" x14ac:dyDescent="0.3">
      <c r="A592" t="s">
        <v>661</v>
      </c>
    </row>
    <row r="593" spans="1:2" x14ac:dyDescent="0.3">
      <c r="A593" t="s">
        <v>662</v>
      </c>
    </row>
    <row r="594" spans="1:2" x14ac:dyDescent="0.3">
      <c r="A594" t="s">
        <v>663</v>
      </c>
    </row>
    <row r="595" spans="1:2" x14ac:dyDescent="0.3">
      <c r="A595" t="s">
        <v>664</v>
      </c>
    </row>
    <row r="596" spans="1:2" x14ac:dyDescent="0.3">
      <c r="A596" t="s">
        <v>665</v>
      </c>
    </row>
    <row r="597" spans="1:2" x14ac:dyDescent="0.3">
      <c r="A597" t="s">
        <v>666</v>
      </c>
    </row>
    <row r="598" spans="1:2" x14ac:dyDescent="0.3">
      <c r="A598" t="s">
        <v>667</v>
      </c>
      <c r="B598">
        <v>4.05</v>
      </c>
    </row>
    <row r="599" spans="1:2" x14ac:dyDescent="0.3">
      <c r="A599" t="s">
        <v>668</v>
      </c>
    </row>
    <row r="600" spans="1:2" x14ac:dyDescent="0.3">
      <c r="A600" t="s">
        <v>669</v>
      </c>
    </row>
    <row r="601" spans="1:2" x14ac:dyDescent="0.3">
      <c r="A601" t="s">
        <v>670</v>
      </c>
      <c r="B601">
        <v>46</v>
      </c>
    </row>
    <row r="602" spans="1:2" x14ac:dyDescent="0.3">
      <c r="A602" t="s">
        <v>671</v>
      </c>
    </row>
    <row r="603" spans="1:2" x14ac:dyDescent="0.3">
      <c r="A603" t="s">
        <v>672</v>
      </c>
      <c r="B603">
        <v>20</v>
      </c>
    </row>
    <row r="604" spans="1:2" x14ac:dyDescent="0.3">
      <c r="A604" t="s">
        <v>673</v>
      </c>
    </row>
    <row r="605" spans="1:2" x14ac:dyDescent="0.3">
      <c r="A605" t="s">
        <v>674</v>
      </c>
    </row>
    <row r="606" spans="1:2" x14ac:dyDescent="0.3">
      <c r="A606" t="s">
        <v>675</v>
      </c>
      <c r="B606">
        <v>20.010000000000002</v>
      </c>
    </row>
    <row r="607" spans="1:2" x14ac:dyDescent="0.3">
      <c r="A607" t="s">
        <v>676</v>
      </c>
    </row>
    <row r="608" spans="1:2" x14ac:dyDescent="0.3">
      <c r="A608" t="s">
        <v>677</v>
      </c>
      <c r="B608">
        <v>3.01</v>
      </c>
    </row>
    <row r="609" spans="1:2" x14ac:dyDescent="0.3">
      <c r="A609" t="s">
        <v>678</v>
      </c>
    </row>
    <row r="610" spans="1:2" x14ac:dyDescent="0.3">
      <c r="A610" t="s">
        <v>679</v>
      </c>
    </row>
    <row r="611" spans="1:2" x14ac:dyDescent="0.3">
      <c r="A611" t="s">
        <v>680</v>
      </c>
      <c r="B611">
        <v>40.119999999999997</v>
      </c>
    </row>
    <row r="612" spans="1:2" x14ac:dyDescent="0.3">
      <c r="A612" t="s">
        <v>681</v>
      </c>
    </row>
    <row r="613" spans="1:2" x14ac:dyDescent="0.3">
      <c r="A613" t="s">
        <v>682</v>
      </c>
    </row>
    <row r="614" spans="1:2" x14ac:dyDescent="0.3">
      <c r="A614" t="s">
        <v>683</v>
      </c>
      <c r="B614">
        <v>7.8</v>
      </c>
    </row>
    <row r="615" spans="1:2" x14ac:dyDescent="0.3">
      <c r="A615" t="s">
        <v>684</v>
      </c>
    </row>
    <row r="616" spans="1:2" x14ac:dyDescent="0.3">
      <c r="A616" t="s">
        <v>685</v>
      </c>
    </row>
    <row r="617" spans="1:2" x14ac:dyDescent="0.3">
      <c r="A617" t="s">
        <v>686</v>
      </c>
    </row>
    <row r="618" spans="1:2" x14ac:dyDescent="0.3">
      <c r="A618" t="s">
        <v>687</v>
      </c>
    </row>
    <row r="619" spans="1:2" x14ac:dyDescent="0.3">
      <c r="A619" t="s">
        <v>688</v>
      </c>
    </row>
    <row r="620" spans="1:2" x14ac:dyDescent="0.3">
      <c r="A620" t="s">
        <v>689</v>
      </c>
    </row>
    <row r="621" spans="1:2" x14ac:dyDescent="0.3">
      <c r="A621" t="s">
        <v>690</v>
      </c>
    </row>
    <row r="622" spans="1:2" x14ac:dyDescent="0.3">
      <c r="A622" t="s">
        <v>691</v>
      </c>
    </row>
    <row r="623" spans="1:2" x14ac:dyDescent="0.3">
      <c r="A623" t="s">
        <v>692</v>
      </c>
    </row>
    <row r="624" spans="1:2" x14ac:dyDescent="0.3">
      <c r="A624" t="s">
        <v>693</v>
      </c>
      <c r="B624">
        <v>10.72</v>
      </c>
    </row>
    <row r="625" spans="1:2" x14ac:dyDescent="0.3">
      <c r="A625" t="s">
        <v>694</v>
      </c>
      <c r="B625">
        <v>7.8</v>
      </c>
    </row>
    <row r="626" spans="1:2" x14ac:dyDescent="0.3">
      <c r="A626" t="s">
        <v>695</v>
      </c>
    </row>
    <row r="627" spans="1:2" x14ac:dyDescent="0.3">
      <c r="A627" t="s">
        <v>696</v>
      </c>
    </row>
    <row r="628" spans="1:2" x14ac:dyDescent="0.3">
      <c r="A628" t="s">
        <v>697</v>
      </c>
      <c r="B628">
        <v>3.85</v>
      </c>
    </row>
    <row r="629" spans="1:2" x14ac:dyDescent="0.3">
      <c r="A629" t="s">
        <v>698</v>
      </c>
    </row>
    <row r="630" spans="1:2" x14ac:dyDescent="0.3">
      <c r="A630" t="s">
        <v>699</v>
      </c>
      <c r="B630">
        <v>3.87</v>
      </c>
    </row>
    <row r="631" spans="1:2" x14ac:dyDescent="0.3">
      <c r="A631" t="s">
        <v>700</v>
      </c>
    </row>
    <row r="632" spans="1:2" x14ac:dyDescent="0.3">
      <c r="A632" t="s">
        <v>701</v>
      </c>
    </row>
    <row r="633" spans="1:2" x14ac:dyDescent="0.3">
      <c r="A633" t="s">
        <v>702</v>
      </c>
      <c r="B633">
        <v>4.92</v>
      </c>
    </row>
    <row r="634" spans="1:2" x14ac:dyDescent="0.3">
      <c r="A634" t="s">
        <v>703</v>
      </c>
    </row>
    <row r="635" spans="1:2" x14ac:dyDescent="0.3">
      <c r="A635" t="s">
        <v>704</v>
      </c>
    </row>
    <row r="636" spans="1:2" x14ac:dyDescent="0.3">
      <c r="A636" t="s">
        <v>705</v>
      </c>
    </row>
    <row r="637" spans="1:2" x14ac:dyDescent="0.3">
      <c r="A637" t="s">
        <v>706</v>
      </c>
      <c r="B637">
        <v>4.76</v>
      </c>
    </row>
    <row r="638" spans="1:2" x14ac:dyDescent="0.3">
      <c r="A638" t="s">
        <v>707</v>
      </c>
    </row>
    <row r="639" spans="1:2" x14ac:dyDescent="0.3">
      <c r="A639" t="s">
        <v>708</v>
      </c>
      <c r="B639">
        <v>2.72</v>
      </c>
    </row>
    <row r="640" spans="1:2" x14ac:dyDescent="0.3">
      <c r="A640" t="s">
        <v>709</v>
      </c>
    </row>
    <row r="641" spans="1:2" x14ac:dyDescent="0.3">
      <c r="A641" t="s">
        <v>710</v>
      </c>
    </row>
    <row r="642" spans="1:2" x14ac:dyDescent="0.3">
      <c r="A642" t="s">
        <v>711</v>
      </c>
    </row>
    <row r="643" spans="1:2" x14ac:dyDescent="0.3">
      <c r="A643" t="s">
        <v>712</v>
      </c>
    </row>
    <row r="644" spans="1:2" x14ac:dyDescent="0.3">
      <c r="A644" t="s">
        <v>713</v>
      </c>
      <c r="B644">
        <v>2.23</v>
      </c>
    </row>
    <row r="645" spans="1:2" x14ac:dyDescent="0.3">
      <c r="A645" t="s">
        <v>714</v>
      </c>
      <c r="B645">
        <v>4.54</v>
      </c>
    </row>
    <row r="646" spans="1:2" x14ac:dyDescent="0.3">
      <c r="A646" t="s">
        <v>715</v>
      </c>
      <c r="B646">
        <v>5.66</v>
      </c>
    </row>
    <row r="647" spans="1:2" x14ac:dyDescent="0.3">
      <c r="A647" t="s">
        <v>716</v>
      </c>
      <c r="B647">
        <v>1.18</v>
      </c>
    </row>
    <row r="648" spans="1:2" x14ac:dyDescent="0.3">
      <c r="A648" t="s">
        <v>717</v>
      </c>
    </row>
    <row r="649" spans="1:2" x14ac:dyDescent="0.3">
      <c r="A649" t="s">
        <v>718</v>
      </c>
    </row>
    <row r="650" spans="1:2" x14ac:dyDescent="0.3">
      <c r="A650" t="s">
        <v>719</v>
      </c>
      <c r="B650">
        <v>1.82</v>
      </c>
    </row>
    <row r="651" spans="1:2" x14ac:dyDescent="0.3">
      <c r="A651" t="s">
        <v>720</v>
      </c>
    </row>
    <row r="652" spans="1:2" x14ac:dyDescent="0.3">
      <c r="A652" t="s">
        <v>721</v>
      </c>
      <c r="B652">
        <v>0.88</v>
      </c>
    </row>
    <row r="653" spans="1:2" x14ac:dyDescent="0.3">
      <c r="A653" t="s">
        <v>722</v>
      </c>
      <c r="B653">
        <v>6.89</v>
      </c>
    </row>
    <row r="654" spans="1:2" x14ac:dyDescent="0.3">
      <c r="A654" t="s">
        <v>723</v>
      </c>
    </row>
    <row r="655" spans="1:2" x14ac:dyDescent="0.3">
      <c r="A655" t="s">
        <v>724</v>
      </c>
    </row>
    <row r="656" spans="1:2" x14ac:dyDescent="0.3">
      <c r="A656" t="s">
        <v>725</v>
      </c>
      <c r="B656">
        <v>1.07</v>
      </c>
    </row>
    <row r="657" spans="1:2" x14ac:dyDescent="0.3">
      <c r="A657" t="s">
        <v>726</v>
      </c>
      <c r="B657">
        <v>25.27</v>
      </c>
    </row>
    <row r="658" spans="1:2" x14ac:dyDescent="0.3">
      <c r="A658" t="s">
        <v>727</v>
      </c>
    </row>
    <row r="659" spans="1:2" x14ac:dyDescent="0.3">
      <c r="A659" t="s">
        <v>728</v>
      </c>
      <c r="B659">
        <v>3.4</v>
      </c>
    </row>
    <row r="660" spans="1:2" x14ac:dyDescent="0.3">
      <c r="A660" t="s">
        <v>729</v>
      </c>
    </row>
    <row r="661" spans="1:2" x14ac:dyDescent="0.3">
      <c r="A661" t="s">
        <v>730</v>
      </c>
    </row>
    <row r="662" spans="1:2" x14ac:dyDescent="0.3">
      <c r="A662" t="s">
        <v>731</v>
      </c>
      <c r="B662">
        <v>3</v>
      </c>
    </row>
    <row r="663" spans="1:2" x14ac:dyDescent="0.3">
      <c r="A663" t="s">
        <v>732</v>
      </c>
      <c r="B663">
        <v>2600</v>
      </c>
    </row>
    <row r="664" spans="1:2" x14ac:dyDescent="0.3">
      <c r="A664" t="s">
        <v>733</v>
      </c>
    </row>
    <row r="665" spans="1:2" x14ac:dyDescent="0.3">
      <c r="A665" t="s">
        <v>734</v>
      </c>
      <c r="B665">
        <v>2.0299999999999998</v>
      </c>
    </row>
    <row r="666" spans="1:2" x14ac:dyDescent="0.3">
      <c r="A666" t="s">
        <v>735</v>
      </c>
    </row>
    <row r="667" spans="1:2" x14ac:dyDescent="0.3">
      <c r="A667" t="s">
        <v>736</v>
      </c>
      <c r="B667">
        <v>1.51</v>
      </c>
    </row>
    <row r="668" spans="1:2" x14ac:dyDescent="0.3">
      <c r="A668" t="s">
        <v>737</v>
      </c>
    </row>
    <row r="669" spans="1:2" x14ac:dyDescent="0.3">
      <c r="A669" t="s">
        <v>738</v>
      </c>
    </row>
    <row r="670" spans="1:2" x14ac:dyDescent="0.3">
      <c r="A670" t="s">
        <v>739</v>
      </c>
    </row>
    <row r="671" spans="1:2" x14ac:dyDescent="0.3">
      <c r="A671" t="s">
        <v>740</v>
      </c>
      <c r="B671">
        <v>5.8</v>
      </c>
    </row>
    <row r="672" spans="1:2" x14ac:dyDescent="0.3">
      <c r="A672" t="s">
        <v>741</v>
      </c>
    </row>
    <row r="673" spans="1:2" x14ac:dyDescent="0.3">
      <c r="A673" t="s">
        <v>742</v>
      </c>
      <c r="B673">
        <v>0.97</v>
      </c>
    </row>
    <row r="674" spans="1:2" x14ac:dyDescent="0.3">
      <c r="A674" t="s">
        <v>743</v>
      </c>
      <c r="B674">
        <v>12.71</v>
      </c>
    </row>
    <row r="675" spans="1:2" x14ac:dyDescent="0.3">
      <c r="A675" t="s">
        <v>744</v>
      </c>
    </row>
    <row r="676" spans="1:2" x14ac:dyDescent="0.3">
      <c r="A676" t="s">
        <v>745</v>
      </c>
    </row>
    <row r="677" spans="1:2" x14ac:dyDescent="0.3">
      <c r="A677" t="s">
        <v>746</v>
      </c>
      <c r="B677">
        <v>6.2</v>
      </c>
    </row>
    <row r="678" spans="1:2" x14ac:dyDescent="0.3">
      <c r="A678" t="s">
        <v>747</v>
      </c>
    </row>
    <row r="679" spans="1:2" x14ac:dyDescent="0.3">
      <c r="A679" t="s">
        <v>748</v>
      </c>
    </row>
    <row r="680" spans="1:2" x14ac:dyDescent="0.3">
      <c r="A680" t="s">
        <v>749</v>
      </c>
    </row>
    <row r="681" spans="1:2" x14ac:dyDescent="0.3">
      <c r="A681" t="s">
        <v>750</v>
      </c>
      <c r="B681">
        <v>3.78</v>
      </c>
    </row>
    <row r="682" spans="1:2" x14ac:dyDescent="0.3">
      <c r="A682" t="s">
        <v>751</v>
      </c>
    </row>
    <row r="683" spans="1:2" x14ac:dyDescent="0.3">
      <c r="A683" t="s">
        <v>752</v>
      </c>
    </row>
    <row r="684" spans="1:2" x14ac:dyDescent="0.3">
      <c r="A684" t="s">
        <v>753</v>
      </c>
    </row>
    <row r="685" spans="1:2" x14ac:dyDescent="0.3">
      <c r="A685" t="s">
        <v>754</v>
      </c>
    </row>
    <row r="686" spans="1:2" x14ac:dyDescent="0.3">
      <c r="A686" t="s">
        <v>755</v>
      </c>
      <c r="B686">
        <v>0.4</v>
      </c>
    </row>
    <row r="687" spans="1:2" x14ac:dyDescent="0.3">
      <c r="A687" t="s">
        <v>756</v>
      </c>
      <c r="B687">
        <v>2.13</v>
      </c>
    </row>
    <row r="688" spans="1:2" x14ac:dyDescent="0.3">
      <c r="A688" t="s">
        <v>757</v>
      </c>
      <c r="B688">
        <v>3.23</v>
      </c>
    </row>
    <row r="689" spans="1:2" x14ac:dyDescent="0.3">
      <c r="A689" t="s">
        <v>758</v>
      </c>
      <c r="B689">
        <v>8</v>
      </c>
    </row>
    <row r="690" spans="1:2" x14ac:dyDescent="0.3">
      <c r="A690" t="s">
        <v>759</v>
      </c>
      <c r="B690">
        <v>1.96</v>
      </c>
    </row>
    <row r="691" spans="1:2" x14ac:dyDescent="0.3">
      <c r="A691" t="s">
        <v>760</v>
      </c>
    </row>
    <row r="692" spans="1:2" x14ac:dyDescent="0.3">
      <c r="A692" t="s">
        <v>761</v>
      </c>
    </row>
    <row r="693" spans="1:2" x14ac:dyDescent="0.3">
      <c r="A693" t="s">
        <v>762</v>
      </c>
      <c r="B693">
        <v>1.32</v>
      </c>
    </row>
    <row r="694" spans="1:2" x14ac:dyDescent="0.3">
      <c r="A694" t="s">
        <v>763</v>
      </c>
    </row>
    <row r="695" spans="1:2" x14ac:dyDescent="0.3">
      <c r="A695" t="s">
        <v>764</v>
      </c>
      <c r="B695">
        <v>0.96</v>
      </c>
    </row>
    <row r="696" spans="1:2" x14ac:dyDescent="0.3">
      <c r="A696" t="s">
        <v>765</v>
      </c>
    </row>
    <row r="697" spans="1:2" x14ac:dyDescent="0.3">
      <c r="A697" t="s">
        <v>766</v>
      </c>
      <c r="B697">
        <v>7.11</v>
      </c>
    </row>
    <row r="698" spans="1:2" x14ac:dyDescent="0.3">
      <c r="A698" t="s">
        <v>767</v>
      </c>
      <c r="B698">
        <v>0.94</v>
      </c>
    </row>
    <row r="699" spans="1:2" x14ac:dyDescent="0.3">
      <c r="A699" t="s">
        <v>768</v>
      </c>
      <c r="B699">
        <v>20</v>
      </c>
    </row>
    <row r="700" spans="1:2" x14ac:dyDescent="0.3">
      <c r="A700" t="s">
        <v>769</v>
      </c>
    </row>
    <row r="701" spans="1:2" x14ac:dyDescent="0.3">
      <c r="A701" t="s">
        <v>770</v>
      </c>
      <c r="B701">
        <v>4.2699999999999996</v>
      </c>
    </row>
    <row r="702" spans="1:2" x14ac:dyDescent="0.3">
      <c r="A702" t="s">
        <v>771</v>
      </c>
    </row>
    <row r="703" spans="1:2" x14ac:dyDescent="0.3">
      <c r="A703" t="s">
        <v>772</v>
      </c>
    </row>
    <row r="704" spans="1:2" x14ac:dyDescent="0.3">
      <c r="A704" t="s">
        <v>773</v>
      </c>
    </row>
    <row r="705" spans="1:2" x14ac:dyDescent="0.3">
      <c r="A705" t="s">
        <v>774</v>
      </c>
    </row>
    <row r="706" spans="1:2" x14ac:dyDescent="0.3">
      <c r="A706" t="s">
        <v>775</v>
      </c>
    </row>
    <row r="707" spans="1:2" x14ac:dyDescent="0.3">
      <c r="A707" t="s">
        <v>776</v>
      </c>
    </row>
    <row r="708" spans="1:2" x14ac:dyDescent="0.3">
      <c r="A708" t="s">
        <v>777</v>
      </c>
    </row>
    <row r="709" spans="1:2" x14ac:dyDescent="0.3">
      <c r="A709" t="s">
        <v>778</v>
      </c>
    </row>
    <row r="710" spans="1:2" x14ac:dyDescent="0.3">
      <c r="A710" t="s">
        <v>779</v>
      </c>
    </row>
    <row r="711" spans="1:2" x14ac:dyDescent="0.3">
      <c r="A711" t="s">
        <v>780</v>
      </c>
      <c r="B711">
        <v>0.33</v>
      </c>
    </row>
    <row r="712" spans="1:2" x14ac:dyDescent="0.3">
      <c r="A712" t="s">
        <v>781</v>
      </c>
    </row>
    <row r="713" spans="1:2" x14ac:dyDescent="0.3">
      <c r="A713" t="s">
        <v>782</v>
      </c>
    </row>
    <row r="714" spans="1:2" x14ac:dyDescent="0.3">
      <c r="A714" t="s">
        <v>783</v>
      </c>
      <c r="B714">
        <v>5.45</v>
      </c>
    </row>
    <row r="715" spans="1:2" x14ac:dyDescent="0.3">
      <c r="A715" t="s">
        <v>784</v>
      </c>
      <c r="B715">
        <v>5.4</v>
      </c>
    </row>
    <row r="716" spans="1:2" x14ac:dyDescent="0.3">
      <c r="A716" t="s">
        <v>785</v>
      </c>
      <c r="B716">
        <v>6.64</v>
      </c>
    </row>
    <row r="717" spans="1:2" x14ac:dyDescent="0.3">
      <c r="A717" t="s">
        <v>786</v>
      </c>
    </row>
    <row r="718" spans="1:2" x14ac:dyDescent="0.3">
      <c r="A718" t="s">
        <v>787</v>
      </c>
    </row>
    <row r="719" spans="1:2" x14ac:dyDescent="0.3">
      <c r="A719" t="s">
        <v>788</v>
      </c>
      <c r="B719">
        <v>5.97</v>
      </c>
    </row>
    <row r="720" spans="1:2" x14ac:dyDescent="0.3">
      <c r="A720" t="s">
        <v>789</v>
      </c>
    </row>
    <row r="721" spans="1:2" x14ac:dyDescent="0.3">
      <c r="A721" t="s">
        <v>790</v>
      </c>
      <c r="B721">
        <v>1.73</v>
      </c>
    </row>
    <row r="722" spans="1:2" x14ac:dyDescent="0.3">
      <c r="A722" t="s">
        <v>791</v>
      </c>
    </row>
    <row r="723" spans="1:2" x14ac:dyDescent="0.3">
      <c r="A723" t="s">
        <v>792</v>
      </c>
    </row>
    <row r="724" spans="1:2" x14ac:dyDescent="0.3">
      <c r="A724" t="s">
        <v>793</v>
      </c>
    </row>
    <row r="725" spans="1:2" x14ac:dyDescent="0.3">
      <c r="A725" t="s">
        <v>794</v>
      </c>
      <c r="B725">
        <v>0.36</v>
      </c>
    </row>
    <row r="726" spans="1:2" x14ac:dyDescent="0.3">
      <c r="A726" t="s">
        <v>795</v>
      </c>
      <c r="B726">
        <v>0.36</v>
      </c>
    </row>
    <row r="727" spans="1:2" x14ac:dyDescent="0.3">
      <c r="A727" t="s">
        <v>796</v>
      </c>
    </row>
    <row r="728" spans="1:2" x14ac:dyDescent="0.3">
      <c r="A728" t="s">
        <v>797</v>
      </c>
    </row>
    <row r="729" spans="1:2" x14ac:dyDescent="0.3">
      <c r="A729" t="s">
        <v>798</v>
      </c>
      <c r="B729">
        <v>0.91</v>
      </c>
    </row>
    <row r="730" spans="1:2" x14ac:dyDescent="0.3">
      <c r="A730" t="s">
        <v>799</v>
      </c>
    </row>
    <row r="731" spans="1:2" x14ac:dyDescent="0.3">
      <c r="A731" t="s">
        <v>800</v>
      </c>
    </row>
    <row r="732" spans="1:2" x14ac:dyDescent="0.3">
      <c r="A732" t="s">
        <v>801</v>
      </c>
    </row>
    <row r="733" spans="1:2" x14ac:dyDescent="0.3">
      <c r="A733" t="s">
        <v>802</v>
      </c>
    </row>
    <row r="734" spans="1:2" x14ac:dyDescent="0.3">
      <c r="A734" t="s">
        <v>803</v>
      </c>
    </row>
    <row r="735" spans="1:2" x14ac:dyDescent="0.3">
      <c r="A735" t="s">
        <v>804</v>
      </c>
    </row>
    <row r="736" spans="1:2" x14ac:dyDescent="0.3">
      <c r="A736" t="s">
        <v>805</v>
      </c>
    </row>
    <row r="737" spans="1:2" x14ac:dyDescent="0.3">
      <c r="A737" t="s">
        <v>806</v>
      </c>
    </row>
    <row r="738" spans="1:2" x14ac:dyDescent="0.3">
      <c r="A738" t="s">
        <v>807</v>
      </c>
      <c r="B738">
        <v>5</v>
      </c>
    </row>
    <row r="739" spans="1:2" x14ac:dyDescent="0.3">
      <c r="A739" t="s">
        <v>808</v>
      </c>
      <c r="B739">
        <v>2.1</v>
      </c>
    </row>
    <row r="740" spans="1:2" x14ac:dyDescent="0.3">
      <c r="A740" t="s">
        <v>809</v>
      </c>
      <c r="B740">
        <v>0.82</v>
      </c>
    </row>
    <row r="741" spans="1:2" x14ac:dyDescent="0.3">
      <c r="A741" t="s">
        <v>810</v>
      </c>
      <c r="B741">
        <v>0.92</v>
      </c>
    </row>
    <row r="742" spans="1:2" x14ac:dyDescent="0.3">
      <c r="A742" t="s">
        <v>811</v>
      </c>
    </row>
    <row r="743" spans="1:2" x14ac:dyDescent="0.3">
      <c r="A743" t="s">
        <v>812</v>
      </c>
      <c r="B743">
        <v>3.55</v>
      </c>
    </row>
    <row r="744" spans="1:2" x14ac:dyDescent="0.3">
      <c r="A744" t="s">
        <v>813</v>
      </c>
    </row>
    <row r="745" spans="1:2" x14ac:dyDescent="0.3">
      <c r="A745" t="s">
        <v>814</v>
      </c>
      <c r="B745">
        <v>8.9499999999999993</v>
      </c>
    </row>
    <row r="746" spans="1:2" x14ac:dyDescent="0.3">
      <c r="A746" t="s">
        <v>815</v>
      </c>
    </row>
    <row r="747" spans="1:2" x14ac:dyDescent="0.3">
      <c r="A747" t="s">
        <v>816</v>
      </c>
      <c r="B747">
        <v>0.11</v>
      </c>
    </row>
    <row r="748" spans="1:2" x14ac:dyDescent="0.3">
      <c r="A748" t="s">
        <v>817</v>
      </c>
      <c r="B748">
        <v>2.9</v>
      </c>
    </row>
    <row r="749" spans="1:2" x14ac:dyDescent="0.3">
      <c r="A749" t="s">
        <v>818</v>
      </c>
    </row>
    <row r="750" spans="1:2" x14ac:dyDescent="0.3">
      <c r="A750" t="s">
        <v>819</v>
      </c>
      <c r="B750">
        <v>7.48</v>
      </c>
    </row>
    <row r="751" spans="1:2" x14ac:dyDescent="0.3">
      <c r="A751" t="s">
        <v>820</v>
      </c>
      <c r="B751">
        <v>3.75</v>
      </c>
    </row>
    <row r="752" spans="1:2" x14ac:dyDescent="0.3">
      <c r="A752" t="s">
        <v>821</v>
      </c>
    </row>
    <row r="753" spans="1:2" x14ac:dyDescent="0.3">
      <c r="A753" t="s">
        <v>822</v>
      </c>
      <c r="B753">
        <v>6.08</v>
      </c>
    </row>
    <row r="754" spans="1:2" x14ac:dyDescent="0.3">
      <c r="A754" t="s">
        <v>823</v>
      </c>
      <c r="B754">
        <v>6.99</v>
      </c>
    </row>
    <row r="755" spans="1:2" x14ac:dyDescent="0.3">
      <c r="A755" t="s">
        <v>824</v>
      </c>
      <c r="B755">
        <v>6.5</v>
      </c>
    </row>
    <row r="756" spans="1:2" x14ac:dyDescent="0.3">
      <c r="A756" t="s">
        <v>825</v>
      </c>
      <c r="B756">
        <v>4.8</v>
      </c>
    </row>
    <row r="757" spans="1:2" x14ac:dyDescent="0.3">
      <c r="A757" t="s">
        <v>826</v>
      </c>
    </row>
    <row r="758" spans="1:2" x14ac:dyDescent="0.3">
      <c r="A758" t="s">
        <v>827</v>
      </c>
    </row>
    <row r="759" spans="1:2" x14ac:dyDescent="0.3">
      <c r="A759" t="s">
        <v>828</v>
      </c>
      <c r="B759">
        <v>9.9</v>
      </c>
    </row>
    <row r="760" spans="1:2" x14ac:dyDescent="0.3">
      <c r="A760" t="s">
        <v>829</v>
      </c>
    </row>
    <row r="761" spans="1:2" x14ac:dyDescent="0.3">
      <c r="A761" t="s">
        <v>830</v>
      </c>
      <c r="B761">
        <v>0.93</v>
      </c>
    </row>
    <row r="762" spans="1:2" x14ac:dyDescent="0.3">
      <c r="A762" t="s">
        <v>831</v>
      </c>
      <c r="B762">
        <v>6</v>
      </c>
    </row>
    <row r="763" spans="1:2" x14ac:dyDescent="0.3">
      <c r="A763" t="s">
        <v>832</v>
      </c>
    </row>
    <row r="764" spans="1:2" x14ac:dyDescent="0.3">
      <c r="A764" t="s">
        <v>833</v>
      </c>
      <c r="B764">
        <v>9.98</v>
      </c>
    </row>
    <row r="765" spans="1:2" x14ac:dyDescent="0.3">
      <c r="A765" t="s">
        <v>834</v>
      </c>
    </row>
    <row r="766" spans="1:2" x14ac:dyDescent="0.3">
      <c r="A766" t="s">
        <v>835</v>
      </c>
    </row>
    <row r="767" spans="1:2" x14ac:dyDescent="0.3">
      <c r="A767" t="s">
        <v>836</v>
      </c>
    </row>
    <row r="768" spans="1:2" x14ac:dyDescent="0.3">
      <c r="A768" t="s">
        <v>837</v>
      </c>
      <c r="B768">
        <v>2.0099999999999998</v>
      </c>
    </row>
    <row r="769" spans="1:2" x14ac:dyDescent="0.3">
      <c r="A769" t="s">
        <v>838</v>
      </c>
      <c r="B769">
        <v>5.77</v>
      </c>
    </row>
    <row r="770" spans="1:2" x14ac:dyDescent="0.3">
      <c r="A770" t="s">
        <v>839</v>
      </c>
      <c r="B770">
        <v>1.33</v>
      </c>
    </row>
    <row r="771" spans="1:2" x14ac:dyDescent="0.3">
      <c r="A771" t="s">
        <v>840</v>
      </c>
    </row>
    <row r="772" spans="1:2" x14ac:dyDescent="0.3">
      <c r="A772" t="s">
        <v>841</v>
      </c>
      <c r="B772">
        <v>6.83</v>
      </c>
    </row>
    <row r="773" spans="1:2" x14ac:dyDescent="0.3">
      <c r="A773" t="s">
        <v>842</v>
      </c>
    </row>
    <row r="774" spans="1:2" x14ac:dyDescent="0.3">
      <c r="A774" t="s">
        <v>843</v>
      </c>
    </row>
    <row r="775" spans="1:2" x14ac:dyDescent="0.3">
      <c r="A775" t="s">
        <v>844</v>
      </c>
    </row>
    <row r="776" spans="1:2" x14ac:dyDescent="0.3">
      <c r="A776" t="s">
        <v>845</v>
      </c>
    </row>
    <row r="777" spans="1:2" x14ac:dyDescent="0.3">
      <c r="A777" t="s">
        <v>846</v>
      </c>
      <c r="B777">
        <v>7.13</v>
      </c>
    </row>
    <row r="778" spans="1:2" x14ac:dyDescent="0.3">
      <c r="A778" t="s">
        <v>847</v>
      </c>
    </row>
    <row r="779" spans="1:2" x14ac:dyDescent="0.3">
      <c r="A779" t="s">
        <v>848</v>
      </c>
      <c r="B779">
        <v>4.6500000000000004</v>
      </c>
    </row>
    <row r="780" spans="1:2" x14ac:dyDescent="0.3">
      <c r="A780" t="s">
        <v>849</v>
      </c>
    </row>
    <row r="781" spans="1:2" x14ac:dyDescent="0.3">
      <c r="A781" t="s">
        <v>850</v>
      </c>
      <c r="B781">
        <v>5</v>
      </c>
    </row>
    <row r="782" spans="1:2" x14ac:dyDescent="0.3">
      <c r="A782" t="s">
        <v>851</v>
      </c>
    </row>
    <row r="783" spans="1:2" x14ac:dyDescent="0.3">
      <c r="A783" t="s">
        <v>852</v>
      </c>
    </row>
    <row r="784" spans="1:2" x14ac:dyDescent="0.3">
      <c r="A784" t="s">
        <v>853</v>
      </c>
    </row>
    <row r="785" spans="1:2" x14ac:dyDescent="0.3">
      <c r="A785" t="s">
        <v>854</v>
      </c>
      <c r="B785">
        <v>1.28</v>
      </c>
    </row>
    <row r="786" spans="1:2" x14ac:dyDescent="0.3">
      <c r="A786" t="s">
        <v>855</v>
      </c>
    </row>
    <row r="787" spans="1:2" x14ac:dyDescent="0.3">
      <c r="A787" t="s">
        <v>856</v>
      </c>
      <c r="B787">
        <v>1.2</v>
      </c>
    </row>
    <row r="788" spans="1:2" x14ac:dyDescent="0.3">
      <c r="A788" t="s">
        <v>857</v>
      </c>
      <c r="B788">
        <v>1.1499999999999999</v>
      </c>
    </row>
    <row r="789" spans="1:2" x14ac:dyDescent="0.3">
      <c r="A789" t="s">
        <v>858</v>
      </c>
      <c r="B789">
        <v>1.22</v>
      </c>
    </row>
    <row r="790" spans="1:2" x14ac:dyDescent="0.3">
      <c r="A790" t="s">
        <v>859</v>
      </c>
    </row>
    <row r="791" spans="1:2" x14ac:dyDescent="0.3">
      <c r="A791" t="s">
        <v>860</v>
      </c>
      <c r="B791">
        <v>4.1900000000000004</v>
      </c>
    </row>
    <row r="792" spans="1:2" x14ac:dyDescent="0.3">
      <c r="A792" t="s">
        <v>861</v>
      </c>
    </row>
    <row r="793" spans="1:2" x14ac:dyDescent="0.3">
      <c r="A793" t="s">
        <v>862</v>
      </c>
    </row>
    <row r="794" spans="1:2" x14ac:dyDescent="0.3">
      <c r="A794" t="s">
        <v>863</v>
      </c>
    </row>
    <row r="795" spans="1:2" x14ac:dyDescent="0.3">
      <c r="A795" t="s">
        <v>864</v>
      </c>
      <c r="B795">
        <v>2.59</v>
      </c>
    </row>
    <row r="796" spans="1:2" x14ac:dyDescent="0.3">
      <c r="A796" t="s">
        <v>865</v>
      </c>
    </row>
    <row r="797" spans="1:2" x14ac:dyDescent="0.3">
      <c r="A797" t="s">
        <v>866</v>
      </c>
      <c r="B797">
        <v>3.14</v>
      </c>
    </row>
    <row r="798" spans="1:2" x14ac:dyDescent="0.3">
      <c r="A798" t="s">
        <v>867</v>
      </c>
    </row>
    <row r="799" spans="1:2" x14ac:dyDescent="0.3">
      <c r="A799" t="s">
        <v>868</v>
      </c>
    </row>
    <row r="800" spans="1:2" x14ac:dyDescent="0.3">
      <c r="A800" t="s">
        <v>869</v>
      </c>
      <c r="B800">
        <v>2.23</v>
      </c>
    </row>
    <row r="801" spans="1:2" x14ac:dyDescent="0.3">
      <c r="A801" t="s">
        <v>870</v>
      </c>
      <c r="B801">
        <v>1.57</v>
      </c>
    </row>
    <row r="802" spans="1:2" x14ac:dyDescent="0.3">
      <c r="A802" t="s">
        <v>871</v>
      </c>
    </row>
    <row r="803" spans="1:2" x14ac:dyDescent="0.3">
      <c r="A803" t="s">
        <v>872</v>
      </c>
      <c r="B803">
        <v>2.09</v>
      </c>
    </row>
    <row r="804" spans="1:2" x14ac:dyDescent="0.3">
      <c r="A804" t="s">
        <v>873</v>
      </c>
      <c r="B804">
        <v>1.42</v>
      </c>
    </row>
    <row r="805" spans="1:2" x14ac:dyDescent="0.3">
      <c r="A805" t="s">
        <v>874</v>
      </c>
    </row>
    <row r="806" spans="1:2" x14ac:dyDescent="0.3">
      <c r="A806" t="s">
        <v>875</v>
      </c>
    </row>
    <row r="807" spans="1:2" x14ac:dyDescent="0.3">
      <c r="A807" t="s">
        <v>876</v>
      </c>
      <c r="B807">
        <v>1.1299999999999999</v>
      </c>
    </row>
    <row r="808" spans="1:2" x14ac:dyDescent="0.3">
      <c r="A808" t="s">
        <v>877</v>
      </c>
      <c r="B808">
        <v>0.31</v>
      </c>
    </row>
    <row r="809" spans="1:2" x14ac:dyDescent="0.3">
      <c r="A809" t="s">
        <v>878</v>
      </c>
      <c r="B809">
        <v>0.86</v>
      </c>
    </row>
    <row r="810" spans="1:2" x14ac:dyDescent="0.3">
      <c r="A810" t="s">
        <v>879</v>
      </c>
    </row>
    <row r="811" spans="1:2" x14ac:dyDescent="0.3">
      <c r="A811" t="s">
        <v>880</v>
      </c>
    </row>
    <row r="812" spans="1:2" x14ac:dyDescent="0.3">
      <c r="A812" t="s">
        <v>881</v>
      </c>
    </row>
    <row r="813" spans="1:2" x14ac:dyDescent="0.3">
      <c r="A813" t="s">
        <v>882</v>
      </c>
    </row>
    <row r="814" spans="1:2" x14ac:dyDescent="0.3">
      <c r="A814" t="s">
        <v>883</v>
      </c>
      <c r="B814">
        <v>0.88</v>
      </c>
    </row>
    <row r="815" spans="1:2" x14ac:dyDescent="0.3">
      <c r="A815" t="s">
        <v>884</v>
      </c>
    </row>
    <row r="816" spans="1:2" x14ac:dyDescent="0.3">
      <c r="A816" t="s">
        <v>885</v>
      </c>
    </row>
    <row r="817" spans="1:2" x14ac:dyDescent="0.3">
      <c r="A817" t="s">
        <v>886</v>
      </c>
    </row>
    <row r="818" spans="1:2" x14ac:dyDescent="0.3">
      <c r="A818" t="s">
        <v>887</v>
      </c>
    </row>
    <row r="819" spans="1:2" x14ac:dyDescent="0.3">
      <c r="A819" t="s">
        <v>888</v>
      </c>
    </row>
    <row r="820" spans="1:2" x14ac:dyDescent="0.3">
      <c r="A820" t="s">
        <v>889</v>
      </c>
    </row>
    <row r="821" spans="1:2" x14ac:dyDescent="0.3">
      <c r="A821" t="s">
        <v>890</v>
      </c>
    </row>
    <row r="822" spans="1:2" x14ac:dyDescent="0.3">
      <c r="A822" t="s">
        <v>891</v>
      </c>
    </row>
    <row r="823" spans="1:2" x14ac:dyDescent="0.3">
      <c r="A823" t="s">
        <v>892</v>
      </c>
      <c r="B823">
        <v>2.85</v>
      </c>
    </row>
    <row r="824" spans="1:2" x14ac:dyDescent="0.3">
      <c r="A824" t="s">
        <v>893</v>
      </c>
      <c r="B824">
        <v>1.64</v>
      </c>
    </row>
    <row r="825" spans="1:2" x14ac:dyDescent="0.3">
      <c r="A825" t="s">
        <v>894</v>
      </c>
    </row>
    <row r="826" spans="1:2" x14ac:dyDescent="0.3">
      <c r="A826" t="s">
        <v>895</v>
      </c>
    </row>
    <row r="827" spans="1:2" x14ac:dyDescent="0.3">
      <c r="A827" t="s">
        <v>896</v>
      </c>
      <c r="B827">
        <v>0.01</v>
      </c>
    </row>
    <row r="828" spans="1:2" x14ac:dyDescent="0.3">
      <c r="A828" t="s">
        <v>897</v>
      </c>
    </row>
    <row r="829" spans="1:2" x14ac:dyDescent="0.3">
      <c r="A829" t="s">
        <v>898</v>
      </c>
    </row>
    <row r="830" spans="1:2" x14ac:dyDescent="0.3">
      <c r="A830" t="s">
        <v>899</v>
      </c>
      <c r="B830">
        <v>2.5</v>
      </c>
    </row>
    <row r="831" spans="1:2" x14ac:dyDescent="0.3">
      <c r="A831" t="s">
        <v>900</v>
      </c>
    </row>
    <row r="832" spans="1:2" x14ac:dyDescent="0.3">
      <c r="A832" t="s">
        <v>901</v>
      </c>
    </row>
    <row r="833" spans="1:1" x14ac:dyDescent="0.3">
      <c r="A833" t="s">
        <v>902</v>
      </c>
    </row>
    <row r="834" spans="1:1" x14ac:dyDescent="0.3">
      <c r="A834" t="s">
        <v>903</v>
      </c>
    </row>
    <row r="835" spans="1:1" x14ac:dyDescent="0.3">
      <c r="A835" t="s">
        <v>904</v>
      </c>
    </row>
    <row r="836" spans="1:1" x14ac:dyDescent="0.3">
      <c r="A836" t="s">
        <v>905</v>
      </c>
    </row>
    <row r="837" spans="1:1" x14ac:dyDescent="0.3">
      <c r="A837" t="s">
        <v>906</v>
      </c>
    </row>
    <row r="838" spans="1:1" x14ac:dyDescent="0.3">
      <c r="A838" t="s">
        <v>907</v>
      </c>
    </row>
    <row r="839" spans="1:1" x14ac:dyDescent="0.3">
      <c r="A839" t="s">
        <v>908</v>
      </c>
    </row>
    <row r="840" spans="1:1" x14ac:dyDescent="0.3">
      <c r="A840" t="s">
        <v>909</v>
      </c>
    </row>
    <row r="841" spans="1:1" x14ac:dyDescent="0.3">
      <c r="A841" t="s">
        <v>910</v>
      </c>
    </row>
    <row r="842" spans="1:1" x14ac:dyDescent="0.3">
      <c r="A842" t="s">
        <v>911</v>
      </c>
    </row>
    <row r="843" spans="1:1" x14ac:dyDescent="0.3">
      <c r="A843" t="s">
        <v>912</v>
      </c>
    </row>
    <row r="844" spans="1:1" x14ac:dyDescent="0.3">
      <c r="A844" t="s">
        <v>913</v>
      </c>
    </row>
    <row r="845" spans="1:1" x14ac:dyDescent="0.3">
      <c r="A845" t="s">
        <v>914</v>
      </c>
    </row>
    <row r="846" spans="1:1" x14ac:dyDescent="0.3">
      <c r="A846" t="s">
        <v>915</v>
      </c>
    </row>
    <row r="847" spans="1:1" x14ac:dyDescent="0.3">
      <c r="A847" t="s">
        <v>916</v>
      </c>
    </row>
    <row r="848" spans="1:1" x14ac:dyDescent="0.3">
      <c r="A848" t="s">
        <v>917</v>
      </c>
    </row>
    <row r="849" spans="1:2" x14ac:dyDescent="0.3">
      <c r="A849" t="s">
        <v>918</v>
      </c>
    </row>
    <row r="850" spans="1:2" x14ac:dyDescent="0.3">
      <c r="A850" t="s">
        <v>919</v>
      </c>
    </row>
    <row r="851" spans="1:2" x14ac:dyDescent="0.3">
      <c r="A851" t="s">
        <v>920</v>
      </c>
    </row>
    <row r="852" spans="1:2" x14ac:dyDescent="0.3">
      <c r="A852" t="s">
        <v>921</v>
      </c>
    </row>
    <row r="853" spans="1:2" x14ac:dyDescent="0.3">
      <c r="A853" t="s">
        <v>922</v>
      </c>
    </row>
    <row r="854" spans="1:2" x14ac:dyDescent="0.3">
      <c r="A854" t="s">
        <v>923</v>
      </c>
    </row>
    <row r="855" spans="1:2" x14ac:dyDescent="0.3">
      <c r="A855" t="s">
        <v>924</v>
      </c>
    </row>
    <row r="856" spans="1:2" x14ac:dyDescent="0.3">
      <c r="A856" t="s">
        <v>925</v>
      </c>
    </row>
    <row r="857" spans="1:2" x14ac:dyDescent="0.3">
      <c r="A857" t="s">
        <v>926</v>
      </c>
    </row>
    <row r="858" spans="1:2" x14ac:dyDescent="0.3">
      <c r="A858" t="s">
        <v>927</v>
      </c>
    </row>
    <row r="859" spans="1:2" x14ac:dyDescent="0.3">
      <c r="A859" t="s">
        <v>928</v>
      </c>
    </row>
    <row r="860" spans="1:2" x14ac:dyDescent="0.3">
      <c r="A860" t="s">
        <v>929</v>
      </c>
    </row>
    <row r="861" spans="1:2" x14ac:dyDescent="0.3">
      <c r="A861" t="s">
        <v>930</v>
      </c>
      <c r="B861">
        <v>0</v>
      </c>
    </row>
    <row r="862" spans="1:2" x14ac:dyDescent="0.3">
      <c r="A862" t="s">
        <v>931</v>
      </c>
    </row>
    <row r="863" spans="1:2" x14ac:dyDescent="0.3">
      <c r="A863" t="s">
        <v>932</v>
      </c>
      <c r="B863">
        <v>24.98</v>
      </c>
    </row>
    <row r="864" spans="1:2" x14ac:dyDescent="0.3">
      <c r="A864" t="s">
        <v>933</v>
      </c>
    </row>
    <row r="865" spans="1:2" x14ac:dyDescent="0.3">
      <c r="A865" t="s">
        <v>934</v>
      </c>
    </row>
    <row r="866" spans="1:2" x14ac:dyDescent="0.3">
      <c r="A866" t="s">
        <v>935</v>
      </c>
    </row>
    <row r="867" spans="1:2" x14ac:dyDescent="0.3">
      <c r="A867" t="s">
        <v>936</v>
      </c>
      <c r="B867">
        <v>0</v>
      </c>
    </row>
    <row r="868" spans="1:2" x14ac:dyDescent="0.3">
      <c r="A868" t="s">
        <v>937</v>
      </c>
    </row>
    <row r="869" spans="1:2" x14ac:dyDescent="0.3">
      <c r="A869" t="s">
        <v>938</v>
      </c>
    </row>
    <row r="870" spans="1:2" x14ac:dyDescent="0.3">
      <c r="A870" t="s">
        <v>939</v>
      </c>
    </row>
    <row r="871" spans="1:2" x14ac:dyDescent="0.3">
      <c r="A871" t="s">
        <v>940</v>
      </c>
      <c r="B871">
        <v>0</v>
      </c>
    </row>
    <row r="872" spans="1:2" x14ac:dyDescent="0.3">
      <c r="A872" t="s">
        <v>941</v>
      </c>
    </row>
    <row r="873" spans="1:2" x14ac:dyDescent="0.3">
      <c r="A873" t="s">
        <v>942</v>
      </c>
    </row>
    <row r="874" spans="1:2" x14ac:dyDescent="0.3">
      <c r="A874" t="s">
        <v>943</v>
      </c>
    </row>
    <row r="875" spans="1:2" x14ac:dyDescent="0.3">
      <c r="A875" t="s">
        <v>944</v>
      </c>
    </row>
    <row r="876" spans="1:2" x14ac:dyDescent="0.3">
      <c r="A876" t="s">
        <v>945</v>
      </c>
    </row>
    <row r="877" spans="1:2" x14ac:dyDescent="0.3">
      <c r="A877" t="s">
        <v>946</v>
      </c>
    </row>
    <row r="878" spans="1:2" x14ac:dyDescent="0.3">
      <c r="A878" t="s">
        <v>947</v>
      </c>
    </row>
    <row r="879" spans="1:2" x14ac:dyDescent="0.3">
      <c r="A879" t="s">
        <v>948</v>
      </c>
    </row>
    <row r="880" spans="1:2" x14ac:dyDescent="0.3">
      <c r="A880" t="s">
        <v>949</v>
      </c>
      <c r="B880">
        <v>12.86</v>
      </c>
    </row>
    <row r="881" spans="1:2" x14ac:dyDescent="0.3">
      <c r="A881" t="s">
        <v>950</v>
      </c>
      <c r="B881">
        <v>0</v>
      </c>
    </row>
    <row r="882" spans="1:2" x14ac:dyDescent="0.3">
      <c r="A882" t="s">
        <v>951</v>
      </c>
    </row>
    <row r="883" spans="1:2" x14ac:dyDescent="0.3">
      <c r="A883" t="s">
        <v>952</v>
      </c>
    </row>
    <row r="884" spans="1:2" x14ac:dyDescent="0.3">
      <c r="A884" t="s">
        <v>953</v>
      </c>
    </row>
    <row r="885" spans="1:2" x14ac:dyDescent="0.3">
      <c r="A885" t="s">
        <v>954</v>
      </c>
    </row>
    <row r="886" spans="1:2" x14ac:dyDescent="0.3">
      <c r="A886" t="s">
        <v>955</v>
      </c>
    </row>
    <row r="887" spans="1:2" x14ac:dyDescent="0.3">
      <c r="A887" t="s">
        <v>956</v>
      </c>
    </row>
    <row r="888" spans="1:2" x14ac:dyDescent="0.3">
      <c r="A888" t="s">
        <v>957</v>
      </c>
    </row>
    <row r="889" spans="1:2" x14ac:dyDescent="0.3">
      <c r="A889" t="s">
        <v>958</v>
      </c>
    </row>
    <row r="890" spans="1:2" x14ac:dyDescent="0.3">
      <c r="A890" t="s">
        <v>959</v>
      </c>
    </row>
    <row r="891" spans="1:2" x14ac:dyDescent="0.3">
      <c r="A891" t="s">
        <v>960</v>
      </c>
    </row>
    <row r="892" spans="1:2" x14ac:dyDescent="0.3">
      <c r="A892" t="s">
        <v>961</v>
      </c>
    </row>
    <row r="893" spans="1:2" x14ac:dyDescent="0.3">
      <c r="A893" t="s">
        <v>962</v>
      </c>
    </row>
    <row r="894" spans="1:2" x14ac:dyDescent="0.3">
      <c r="A894" t="s">
        <v>963</v>
      </c>
      <c r="B894">
        <v>0</v>
      </c>
    </row>
    <row r="895" spans="1:2" x14ac:dyDescent="0.3">
      <c r="A895" t="s">
        <v>964</v>
      </c>
    </row>
    <row r="896" spans="1:2" x14ac:dyDescent="0.3">
      <c r="A896" t="s">
        <v>965</v>
      </c>
    </row>
    <row r="897" spans="1:1" x14ac:dyDescent="0.3">
      <c r="A897" t="s">
        <v>966</v>
      </c>
    </row>
    <row r="898" spans="1:1" x14ac:dyDescent="0.3">
      <c r="A898" t="s">
        <v>967</v>
      </c>
    </row>
    <row r="899" spans="1:1" x14ac:dyDescent="0.3">
      <c r="A899" t="s">
        <v>968</v>
      </c>
    </row>
    <row r="900" spans="1:1" x14ac:dyDescent="0.3">
      <c r="A900" t="s">
        <v>969</v>
      </c>
    </row>
    <row r="901" spans="1:1" x14ac:dyDescent="0.3">
      <c r="A901" t="s">
        <v>970</v>
      </c>
    </row>
    <row r="902" spans="1:1" x14ac:dyDescent="0.3">
      <c r="A902" t="s">
        <v>971</v>
      </c>
    </row>
    <row r="903" spans="1:1" x14ac:dyDescent="0.3">
      <c r="A903" t="s">
        <v>972</v>
      </c>
    </row>
    <row r="904" spans="1:1" x14ac:dyDescent="0.3">
      <c r="A904" t="s">
        <v>973</v>
      </c>
    </row>
    <row r="905" spans="1:1" x14ac:dyDescent="0.3">
      <c r="A905" t="s">
        <v>974</v>
      </c>
    </row>
    <row r="906" spans="1:1" x14ac:dyDescent="0.3">
      <c r="A906" t="s">
        <v>975</v>
      </c>
    </row>
    <row r="907" spans="1:1" x14ac:dyDescent="0.3">
      <c r="A907" t="s">
        <v>976</v>
      </c>
    </row>
    <row r="908" spans="1:1" x14ac:dyDescent="0.3">
      <c r="A908" t="s">
        <v>977</v>
      </c>
    </row>
    <row r="909" spans="1:1" x14ac:dyDescent="0.3">
      <c r="A909" t="s">
        <v>978</v>
      </c>
    </row>
    <row r="910" spans="1:1" x14ac:dyDescent="0.3">
      <c r="A910" t="s">
        <v>979</v>
      </c>
    </row>
    <row r="911" spans="1:1" x14ac:dyDescent="0.3">
      <c r="A911" t="s">
        <v>980</v>
      </c>
    </row>
    <row r="912" spans="1:1" x14ac:dyDescent="0.3">
      <c r="A912" t="s">
        <v>981</v>
      </c>
    </row>
    <row r="913" spans="1:2" x14ac:dyDescent="0.3">
      <c r="A913" t="s">
        <v>982</v>
      </c>
    </row>
    <row r="914" spans="1:2" x14ac:dyDescent="0.3">
      <c r="A914" t="s">
        <v>983</v>
      </c>
    </row>
    <row r="915" spans="1:2" x14ac:dyDescent="0.3">
      <c r="A915" t="s">
        <v>984</v>
      </c>
    </row>
    <row r="916" spans="1:2" x14ac:dyDescent="0.3">
      <c r="A916" t="s">
        <v>985</v>
      </c>
    </row>
    <row r="917" spans="1:2" x14ac:dyDescent="0.3">
      <c r="A917" t="s">
        <v>986</v>
      </c>
      <c r="B917">
        <v>1.1100000000000001</v>
      </c>
    </row>
    <row r="918" spans="1:2" x14ac:dyDescent="0.3">
      <c r="A918" t="s">
        <v>987</v>
      </c>
    </row>
    <row r="919" spans="1:2" x14ac:dyDescent="0.3">
      <c r="A919" t="s">
        <v>988</v>
      </c>
    </row>
    <row r="920" spans="1:2" x14ac:dyDescent="0.3">
      <c r="A920" t="s">
        <v>989</v>
      </c>
    </row>
    <row r="921" spans="1:2" x14ac:dyDescent="0.3">
      <c r="A921" t="s">
        <v>990</v>
      </c>
    </row>
    <row r="922" spans="1:2" x14ac:dyDescent="0.3">
      <c r="A922" t="s">
        <v>991</v>
      </c>
    </row>
    <row r="923" spans="1:2" x14ac:dyDescent="0.3">
      <c r="A923" t="s">
        <v>992</v>
      </c>
      <c r="B923">
        <v>3.38</v>
      </c>
    </row>
    <row r="924" spans="1:2" x14ac:dyDescent="0.3">
      <c r="A924" t="s">
        <v>993</v>
      </c>
    </row>
    <row r="925" spans="1:2" x14ac:dyDescent="0.3">
      <c r="A925" t="s">
        <v>994</v>
      </c>
    </row>
    <row r="926" spans="1:2" x14ac:dyDescent="0.3">
      <c r="A926" t="s">
        <v>995</v>
      </c>
      <c r="B926">
        <v>5.5</v>
      </c>
    </row>
    <row r="927" spans="1:2" x14ac:dyDescent="0.3">
      <c r="A927" t="s">
        <v>996</v>
      </c>
      <c r="B927">
        <v>1.75</v>
      </c>
    </row>
    <row r="928" spans="1:2" x14ac:dyDescent="0.3">
      <c r="A928" t="s">
        <v>997</v>
      </c>
    </row>
    <row r="929" spans="1:1" x14ac:dyDescent="0.3">
      <c r="A929" t="s">
        <v>998</v>
      </c>
    </row>
    <row r="930" spans="1:1" x14ac:dyDescent="0.3">
      <c r="A930" t="s">
        <v>999</v>
      </c>
    </row>
    <row r="931" spans="1:1" x14ac:dyDescent="0.3">
      <c r="A931" t="s">
        <v>1000</v>
      </c>
    </row>
    <row r="932" spans="1:1" x14ac:dyDescent="0.3">
      <c r="A932" t="s">
        <v>1001</v>
      </c>
    </row>
    <row r="933" spans="1:1" x14ac:dyDescent="0.3">
      <c r="A933" t="s">
        <v>1002</v>
      </c>
    </row>
    <row r="934" spans="1:1" x14ac:dyDescent="0.3">
      <c r="A934" t="s">
        <v>1003</v>
      </c>
    </row>
    <row r="935" spans="1:1" x14ac:dyDescent="0.3">
      <c r="A935" t="s">
        <v>1004</v>
      </c>
    </row>
    <row r="936" spans="1:1" x14ac:dyDescent="0.3">
      <c r="A936" t="s">
        <v>1005</v>
      </c>
    </row>
    <row r="937" spans="1:1" x14ac:dyDescent="0.3">
      <c r="A937" t="s">
        <v>1006</v>
      </c>
    </row>
    <row r="938" spans="1:1" x14ac:dyDescent="0.3">
      <c r="A938" t="s">
        <v>1007</v>
      </c>
    </row>
    <row r="939" spans="1:1" x14ac:dyDescent="0.3">
      <c r="A939" t="s">
        <v>1008</v>
      </c>
    </row>
    <row r="940" spans="1:1" x14ac:dyDescent="0.3">
      <c r="A940" t="s">
        <v>1009</v>
      </c>
    </row>
    <row r="941" spans="1:1" x14ac:dyDescent="0.3">
      <c r="A941" t="s">
        <v>1010</v>
      </c>
    </row>
    <row r="942" spans="1:1" x14ac:dyDescent="0.3">
      <c r="A942" t="s">
        <v>1011</v>
      </c>
    </row>
    <row r="943" spans="1:1" x14ac:dyDescent="0.3">
      <c r="A943" t="s">
        <v>1012</v>
      </c>
    </row>
    <row r="944" spans="1:1" x14ac:dyDescent="0.3">
      <c r="A944" t="s">
        <v>1013</v>
      </c>
    </row>
    <row r="945" spans="1:2" x14ac:dyDescent="0.3">
      <c r="A945" t="s">
        <v>1014</v>
      </c>
    </row>
    <row r="946" spans="1:2" x14ac:dyDescent="0.3">
      <c r="A946" t="s">
        <v>1015</v>
      </c>
    </row>
    <row r="947" spans="1:2" x14ac:dyDescent="0.3">
      <c r="A947" t="s">
        <v>1016</v>
      </c>
    </row>
    <row r="948" spans="1:2" x14ac:dyDescent="0.3">
      <c r="A948" t="s">
        <v>1017</v>
      </c>
    </row>
    <row r="949" spans="1:2" x14ac:dyDescent="0.3">
      <c r="A949" t="s">
        <v>1018</v>
      </c>
    </row>
    <row r="950" spans="1:2" x14ac:dyDescent="0.3">
      <c r="A950" t="s">
        <v>1019</v>
      </c>
    </row>
    <row r="951" spans="1:2" x14ac:dyDescent="0.3">
      <c r="A951" t="s">
        <v>1020</v>
      </c>
    </row>
    <row r="952" spans="1:2" x14ac:dyDescent="0.3">
      <c r="A952" t="s">
        <v>1021</v>
      </c>
      <c r="B952">
        <v>4.68</v>
      </c>
    </row>
    <row r="953" spans="1:2" x14ac:dyDescent="0.3">
      <c r="A953" t="s">
        <v>1022</v>
      </c>
      <c r="B953">
        <v>4.55</v>
      </c>
    </row>
    <row r="954" spans="1:2" x14ac:dyDescent="0.3">
      <c r="A954" t="s">
        <v>1023</v>
      </c>
    </row>
    <row r="955" spans="1:2" x14ac:dyDescent="0.3">
      <c r="A955" t="s">
        <v>1024</v>
      </c>
      <c r="B955">
        <v>4.93</v>
      </c>
    </row>
    <row r="956" spans="1:2" x14ac:dyDescent="0.3">
      <c r="A956" t="s">
        <v>1025</v>
      </c>
      <c r="B956">
        <v>5.39</v>
      </c>
    </row>
    <row r="957" spans="1:2" x14ac:dyDescent="0.3">
      <c r="A957" t="s">
        <v>1026</v>
      </c>
    </row>
    <row r="958" spans="1:2" x14ac:dyDescent="0.3">
      <c r="A958" t="s">
        <v>1027</v>
      </c>
    </row>
    <row r="959" spans="1:2" x14ac:dyDescent="0.3">
      <c r="A959" t="s">
        <v>1028</v>
      </c>
    </row>
    <row r="960" spans="1:2" x14ac:dyDescent="0.3">
      <c r="A960" t="s">
        <v>1029</v>
      </c>
    </row>
    <row r="961" spans="1:2" x14ac:dyDescent="0.3">
      <c r="A961" t="s">
        <v>1030</v>
      </c>
      <c r="B961">
        <v>11.27</v>
      </c>
    </row>
    <row r="962" spans="1:2" x14ac:dyDescent="0.3">
      <c r="A962" t="s">
        <v>1031</v>
      </c>
    </row>
    <row r="963" spans="1:2" x14ac:dyDescent="0.3">
      <c r="A963" t="s">
        <v>1032</v>
      </c>
    </row>
    <row r="964" spans="1:2" x14ac:dyDescent="0.3">
      <c r="A964" t="s">
        <v>1033</v>
      </c>
    </row>
    <row r="965" spans="1:2" x14ac:dyDescent="0.3">
      <c r="A965" t="s">
        <v>1034</v>
      </c>
    </row>
    <row r="966" spans="1:2" x14ac:dyDescent="0.3">
      <c r="A966" t="s">
        <v>1035</v>
      </c>
    </row>
    <row r="967" spans="1:2" x14ac:dyDescent="0.3">
      <c r="A967" t="s">
        <v>1036</v>
      </c>
    </row>
    <row r="968" spans="1:2" x14ac:dyDescent="0.3">
      <c r="A968" t="s">
        <v>1037</v>
      </c>
      <c r="B968">
        <v>35.99</v>
      </c>
    </row>
    <row r="969" spans="1:2" x14ac:dyDescent="0.3">
      <c r="A969" t="s">
        <v>1038</v>
      </c>
      <c r="B969">
        <v>36</v>
      </c>
    </row>
    <row r="970" spans="1:2" x14ac:dyDescent="0.3">
      <c r="A970" t="s">
        <v>1039</v>
      </c>
    </row>
    <row r="971" spans="1:2" x14ac:dyDescent="0.3">
      <c r="A971" t="s">
        <v>1040</v>
      </c>
    </row>
    <row r="972" spans="1:2" x14ac:dyDescent="0.3">
      <c r="A972" t="s">
        <v>1041</v>
      </c>
      <c r="B972">
        <v>4.51</v>
      </c>
    </row>
    <row r="973" spans="1:2" x14ac:dyDescent="0.3">
      <c r="A973" t="s">
        <v>1042</v>
      </c>
      <c r="B973">
        <v>15.01</v>
      </c>
    </row>
    <row r="974" spans="1:2" x14ac:dyDescent="0.3">
      <c r="A974" t="s">
        <v>1043</v>
      </c>
      <c r="B974">
        <v>12.03</v>
      </c>
    </row>
    <row r="975" spans="1:2" x14ac:dyDescent="0.3">
      <c r="A975" t="s">
        <v>1044</v>
      </c>
      <c r="B975">
        <v>27</v>
      </c>
    </row>
    <row r="976" spans="1:2" x14ac:dyDescent="0.3">
      <c r="A976" t="s">
        <v>1045</v>
      </c>
      <c r="B976">
        <v>2550.0100000000002</v>
      </c>
    </row>
    <row r="977" spans="1:2" x14ac:dyDescent="0.3">
      <c r="A977" t="s">
        <v>1046</v>
      </c>
      <c r="B977">
        <v>2550.0100000000002</v>
      </c>
    </row>
    <row r="978" spans="1:2" x14ac:dyDescent="0.3">
      <c r="A978" t="s">
        <v>1047</v>
      </c>
      <c r="B978">
        <v>0</v>
      </c>
    </row>
    <row r="979" spans="1:2" x14ac:dyDescent="0.3">
      <c r="A979" t="s">
        <v>1048</v>
      </c>
    </row>
    <row r="980" spans="1:2" x14ac:dyDescent="0.3">
      <c r="A980" t="s">
        <v>1049</v>
      </c>
    </row>
    <row r="981" spans="1:2" x14ac:dyDescent="0.3">
      <c r="A981" t="s">
        <v>1050</v>
      </c>
      <c r="B981">
        <v>424.99</v>
      </c>
    </row>
    <row r="982" spans="1:2" x14ac:dyDescent="0.3">
      <c r="A982" t="s">
        <v>1051</v>
      </c>
      <c r="B982">
        <v>10.1</v>
      </c>
    </row>
    <row r="983" spans="1:2" x14ac:dyDescent="0.3">
      <c r="A983" t="s">
        <v>1052</v>
      </c>
      <c r="B983">
        <v>11.14</v>
      </c>
    </row>
    <row r="984" spans="1:2" x14ac:dyDescent="0.3">
      <c r="A984" t="s">
        <v>1053</v>
      </c>
    </row>
    <row r="985" spans="1:2" x14ac:dyDescent="0.3">
      <c r="A985" t="s">
        <v>1054</v>
      </c>
    </row>
    <row r="986" spans="1:2" x14ac:dyDescent="0.3">
      <c r="A986" t="s">
        <v>1055</v>
      </c>
    </row>
    <row r="987" spans="1:2" x14ac:dyDescent="0.3">
      <c r="A987" t="s">
        <v>1056</v>
      </c>
      <c r="B987">
        <v>5050</v>
      </c>
    </row>
    <row r="988" spans="1:2" x14ac:dyDescent="0.3">
      <c r="A988" t="s">
        <v>1057</v>
      </c>
    </row>
    <row r="989" spans="1:2" x14ac:dyDescent="0.3">
      <c r="A989" t="s">
        <v>1058</v>
      </c>
    </row>
    <row r="990" spans="1:2" x14ac:dyDescent="0.3">
      <c r="A990" t="s">
        <v>1059</v>
      </c>
    </row>
    <row r="991" spans="1:2" x14ac:dyDescent="0.3">
      <c r="A991" t="s">
        <v>1060</v>
      </c>
      <c r="B991">
        <v>12.51</v>
      </c>
    </row>
    <row r="992" spans="1:2" x14ac:dyDescent="0.3">
      <c r="A992" t="s">
        <v>1061</v>
      </c>
    </row>
    <row r="993" spans="1:2" x14ac:dyDescent="0.3">
      <c r="A993" t="s">
        <v>1062</v>
      </c>
    </row>
    <row r="994" spans="1:2" x14ac:dyDescent="0.3">
      <c r="A994" t="s">
        <v>1063</v>
      </c>
    </row>
    <row r="995" spans="1:2" x14ac:dyDescent="0.3">
      <c r="A995" t="s">
        <v>1064</v>
      </c>
    </row>
    <row r="996" spans="1:2" x14ac:dyDescent="0.3">
      <c r="A996" t="s">
        <v>1065</v>
      </c>
      <c r="B996">
        <v>0</v>
      </c>
    </row>
    <row r="997" spans="1:2" x14ac:dyDescent="0.3">
      <c r="A997" t="s">
        <v>1066</v>
      </c>
      <c r="B997">
        <v>3.24</v>
      </c>
    </row>
    <row r="998" spans="1:2" x14ac:dyDescent="0.3">
      <c r="A998" t="s">
        <v>1067</v>
      </c>
      <c r="B998">
        <v>100</v>
      </c>
    </row>
    <row r="999" spans="1:2" x14ac:dyDescent="0.3">
      <c r="A999" t="s">
        <v>1068</v>
      </c>
    </row>
    <row r="1000" spans="1:2" x14ac:dyDescent="0.3">
      <c r="A1000" t="s">
        <v>1069</v>
      </c>
      <c r="B1000">
        <v>77.040000000000006</v>
      </c>
    </row>
    <row r="1001" spans="1:2" x14ac:dyDescent="0.3">
      <c r="A1001" t="s">
        <v>1070</v>
      </c>
      <c r="B1001">
        <v>11.16</v>
      </c>
    </row>
    <row r="1002" spans="1:2" x14ac:dyDescent="0.3">
      <c r="A1002" t="s">
        <v>1071</v>
      </c>
    </row>
    <row r="1003" spans="1:2" x14ac:dyDescent="0.3">
      <c r="A1003" t="s">
        <v>1072</v>
      </c>
    </row>
    <row r="1004" spans="1:2" x14ac:dyDescent="0.3">
      <c r="A1004" t="s">
        <v>1073</v>
      </c>
      <c r="B1004">
        <v>6.47</v>
      </c>
    </row>
    <row r="1005" spans="1:2" x14ac:dyDescent="0.3">
      <c r="A1005" t="s">
        <v>1074</v>
      </c>
    </row>
    <row r="1006" spans="1:2" x14ac:dyDescent="0.3">
      <c r="A1006" t="s">
        <v>1075</v>
      </c>
    </row>
    <row r="1007" spans="1:2" x14ac:dyDescent="0.3">
      <c r="A1007" t="s">
        <v>1076</v>
      </c>
    </row>
    <row r="1008" spans="1:2" x14ac:dyDescent="0.3">
      <c r="A1008" t="s">
        <v>1077</v>
      </c>
    </row>
    <row r="1009" spans="1:2" x14ac:dyDescent="0.3">
      <c r="A1009" t="s">
        <v>1078</v>
      </c>
    </row>
    <row r="1010" spans="1:2" x14ac:dyDescent="0.3">
      <c r="A1010" t="s">
        <v>1079</v>
      </c>
      <c r="B1010">
        <v>44.3</v>
      </c>
    </row>
    <row r="1011" spans="1:2" x14ac:dyDescent="0.3">
      <c r="A1011" t="s">
        <v>1080</v>
      </c>
      <c r="B1011">
        <v>14.46</v>
      </c>
    </row>
    <row r="1012" spans="1:2" x14ac:dyDescent="0.3">
      <c r="A1012" t="s">
        <v>1081</v>
      </c>
    </row>
    <row r="1013" spans="1:2" x14ac:dyDescent="0.3">
      <c r="A1013" t="s">
        <v>1082</v>
      </c>
      <c r="B1013">
        <v>2990</v>
      </c>
    </row>
    <row r="1014" spans="1:2" x14ac:dyDescent="0.3">
      <c r="A1014" t="s">
        <v>1083</v>
      </c>
      <c r="B1014">
        <v>6.74</v>
      </c>
    </row>
    <row r="1015" spans="1:2" x14ac:dyDescent="0.3">
      <c r="A1015" t="s">
        <v>1084</v>
      </c>
      <c r="B1015">
        <v>48.01</v>
      </c>
    </row>
    <row r="1016" spans="1:2" x14ac:dyDescent="0.3">
      <c r="A1016" t="s">
        <v>1085</v>
      </c>
      <c r="B1016">
        <v>55</v>
      </c>
    </row>
    <row r="1017" spans="1:2" x14ac:dyDescent="0.3">
      <c r="A1017" t="s">
        <v>1086</v>
      </c>
      <c r="B1017">
        <v>33.950000000000003</v>
      </c>
    </row>
    <row r="1018" spans="1:2" x14ac:dyDescent="0.3">
      <c r="A1018" t="s">
        <v>1087</v>
      </c>
    </row>
    <row r="1019" spans="1:2" x14ac:dyDescent="0.3">
      <c r="A1019" t="s">
        <v>1088</v>
      </c>
      <c r="B1019">
        <v>16</v>
      </c>
    </row>
    <row r="1020" spans="1:2" x14ac:dyDescent="0.3">
      <c r="A1020" t="s">
        <v>1089</v>
      </c>
      <c r="B1020">
        <v>1.3</v>
      </c>
    </row>
    <row r="1021" spans="1:2" x14ac:dyDescent="0.3">
      <c r="A1021" t="s">
        <v>1090</v>
      </c>
      <c r="B1021">
        <v>23.48</v>
      </c>
    </row>
    <row r="1022" spans="1:2" x14ac:dyDescent="0.3">
      <c r="A1022" t="s">
        <v>1091</v>
      </c>
      <c r="B1022">
        <v>7.05</v>
      </c>
    </row>
    <row r="1023" spans="1:2" x14ac:dyDescent="0.3">
      <c r="A1023" t="s">
        <v>1092</v>
      </c>
    </row>
    <row r="1024" spans="1:2" x14ac:dyDescent="0.3">
      <c r="A1024" t="s">
        <v>1093</v>
      </c>
      <c r="B1024">
        <v>58</v>
      </c>
    </row>
    <row r="1025" spans="1:2" x14ac:dyDescent="0.3">
      <c r="A1025" t="s">
        <v>1094</v>
      </c>
    </row>
    <row r="1026" spans="1:2" x14ac:dyDescent="0.3">
      <c r="A1026" t="s">
        <v>1095</v>
      </c>
      <c r="B1026">
        <v>11.12</v>
      </c>
    </row>
    <row r="1027" spans="1:2" x14ac:dyDescent="0.3">
      <c r="A1027" t="s">
        <v>1096</v>
      </c>
    </row>
    <row r="1028" spans="1:2" x14ac:dyDescent="0.3">
      <c r="A1028" t="s">
        <v>1097</v>
      </c>
      <c r="B1028">
        <v>13.38</v>
      </c>
    </row>
    <row r="1029" spans="1:2" x14ac:dyDescent="0.3">
      <c r="A1029" t="s">
        <v>1098</v>
      </c>
      <c r="B1029">
        <v>9.01</v>
      </c>
    </row>
    <row r="1030" spans="1:2" x14ac:dyDescent="0.3">
      <c r="A1030" t="s">
        <v>1099</v>
      </c>
      <c r="B1030">
        <v>27.56</v>
      </c>
    </row>
    <row r="1031" spans="1:2" x14ac:dyDescent="0.3">
      <c r="A1031" t="s">
        <v>1100</v>
      </c>
      <c r="B1031">
        <v>30.02</v>
      </c>
    </row>
    <row r="1032" spans="1:2" x14ac:dyDescent="0.3">
      <c r="A1032" t="s">
        <v>1101</v>
      </c>
      <c r="B1032">
        <v>3.95</v>
      </c>
    </row>
    <row r="1033" spans="1:2" x14ac:dyDescent="0.3">
      <c r="A1033" t="s">
        <v>1102</v>
      </c>
      <c r="B1033">
        <v>8.51</v>
      </c>
    </row>
    <row r="1034" spans="1:2" x14ac:dyDescent="0.3">
      <c r="A1034" t="s">
        <v>1103</v>
      </c>
      <c r="B1034">
        <v>41.19</v>
      </c>
    </row>
    <row r="1035" spans="1:2" x14ac:dyDescent="0.3">
      <c r="A1035" t="s">
        <v>1104</v>
      </c>
      <c r="B1035">
        <v>44</v>
      </c>
    </row>
    <row r="1036" spans="1:2" x14ac:dyDescent="0.3">
      <c r="A1036" t="s">
        <v>1105</v>
      </c>
    </row>
    <row r="1037" spans="1:2" x14ac:dyDescent="0.3">
      <c r="A1037" t="s">
        <v>1106</v>
      </c>
      <c r="B1037">
        <v>23.5</v>
      </c>
    </row>
    <row r="1038" spans="1:2" x14ac:dyDescent="0.3">
      <c r="A1038" t="s">
        <v>1106</v>
      </c>
      <c r="B1038">
        <v>23.5</v>
      </c>
    </row>
    <row r="1039" spans="1:2" x14ac:dyDescent="0.3">
      <c r="A1039" t="s">
        <v>1107</v>
      </c>
      <c r="B1039">
        <v>23.5</v>
      </c>
    </row>
    <row r="1040" spans="1:2" x14ac:dyDescent="0.3">
      <c r="A1040" t="s">
        <v>1107</v>
      </c>
      <c r="B1040">
        <v>23.5</v>
      </c>
    </row>
    <row r="1041" spans="1:2" x14ac:dyDescent="0.3">
      <c r="A1041" t="s">
        <v>1108</v>
      </c>
      <c r="B1041">
        <v>14.15</v>
      </c>
    </row>
    <row r="1042" spans="1:2" x14ac:dyDescent="0.3">
      <c r="A1042" t="s">
        <v>1109</v>
      </c>
      <c r="B1042">
        <v>23</v>
      </c>
    </row>
    <row r="1043" spans="1:2" x14ac:dyDescent="0.3">
      <c r="A1043" t="s">
        <v>1110</v>
      </c>
      <c r="B1043">
        <v>8</v>
      </c>
    </row>
    <row r="1044" spans="1:2" x14ac:dyDescent="0.3">
      <c r="A1044" t="s">
        <v>1111</v>
      </c>
      <c r="B1044">
        <v>30.4</v>
      </c>
    </row>
    <row r="1045" spans="1:2" x14ac:dyDescent="0.3">
      <c r="A1045" t="s">
        <v>1112</v>
      </c>
      <c r="B1045">
        <v>8890</v>
      </c>
    </row>
    <row r="1046" spans="1:2" x14ac:dyDescent="0.3">
      <c r="A1046" t="s">
        <v>1113</v>
      </c>
      <c r="B1046">
        <v>8.0500000000000007</v>
      </c>
    </row>
    <row r="1047" spans="1:2" x14ac:dyDescent="0.3">
      <c r="A1047" t="s">
        <v>1114</v>
      </c>
    </row>
    <row r="1048" spans="1:2" x14ac:dyDescent="0.3">
      <c r="A1048" t="s">
        <v>1115</v>
      </c>
      <c r="B1048">
        <v>30.64</v>
      </c>
    </row>
    <row r="1049" spans="1:2" x14ac:dyDescent="0.3">
      <c r="A1049" t="s">
        <v>1116</v>
      </c>
      <c r="B1049">
        <v>57.11</v>
      </c>
    </row>
    <row r="1050" spans="1:2" x14ac:dyDescent="0.3">
      <c r="A1050" t="s">
        <v>1117</v>
      </c>
      <c r="B1050">
        <v>16.25</v>
      </c>
    </row>
    <row r="1051" spans="1:2" x14ac:dyDescent="0.3">
      <c r="A1051" t="s">
        <v>1118</v>
      </c>
      <c r="B1051">
        <v>4.17</v>
      </c>
    </row>
    <row r="1052" spans="1:2" x14ac:dyDescent="0.3">
      <c r="A1052" t="s">
        <v>1119</v>
      </c>
      <c r="B1052">
        <v>12.4</v>
      </c>
    </row>
    <row r="1053" spans="1:2" x14ac:dyDescent="0.3">
      <c r="A1053" t="s">
        <v>1120</v>
      </c>
      <c r="B1053">
        <v>30.93</v>
      </c>
    </row>
    <row r="1054" spans="1:2" x14ac:dyDescent="0.3">
      <c r="A1054" t="s">
        <v>1121</v>
      </c>
      <c r="B1054">
        <v>24.88</v>
      </c>
    </row>
    <row r="1055" spans="1:2" x14ac:dyDescent="0.3">
      <c r="A1055" t="s">
        <v>1122</v>
      </c>
      <c r="B1055">
        <v>6</v>
      </c>
    </row>
    <row r="1056" spans="1:2" x14ac:dyDescent="0.3">
      <c r="A1056" t="s">
        <v>1123</v>
      </c>
    </row>
    <row r="1057" spans="1:2" x14ac:dyDescent="0.3">
      <c r="A1057" t="s">
        <v>1124</v>
      </c>
    </row>
    <row r="1058" spans="1:2" x14ac:dyDescent="0.3">
      <c r="A1058" t="s">
        <v>1125</v>
      </c>
      <c r="B1058">
        <v>22.54</v>
      </c>
    </row>
    <row r="1059" spans="1:2" x14ac:dyDescent="0.3">
      <c r="A1059" t="s">
        <v>1126</v>
      </c>
      <c r="B1059">
        <v>29.7</v>
      </c>
    </row>
    <row r="1060" spans="1:2" x14ac:dyDescent="0.3">
      <c r="A1060" t="s">
        <v>1127</v>
      </c>
    </row>
    <row r="1061" spans="1:2" x14ac:dyDescent="0.3">
      <c r="A1061" t="s">
        <v>1128</v>
      </c>
      <c r="B1061">
        <v>9.4600000000000009</v>
      </c>
    </row>
    <row r="1062" spans="1:2" x14ac:dyDescent="0.3">
      <c r="A1062" t="s">
        <v>1129</v>
      </c>
      <c r="B1062">
        <v>4.8899999999999997</v>
      </c>
    </row>
    <row r="1063" spans="1:2" x14ac:dyDescent="0.3">
      <c r="A1063" t="s">
        <v>1130</v>
      </c>
    </row>
    <row r="1064" spans="1:2" x14ac:dyDescent="0.3">
      <c r="A1064" t="s">
        <v>1131</v>
      </c>
    </row>
    <row r="1065" spans="1:2" x14ac:dyDescent="0.3">
      <c r="A1065" t="s">
        <v>1132</v>
      </c>
      <c r="B1065">
        <v>5.2</v>
      </c>
    </row>
    <row r="1066" spans="1:2" x14ac:dyDescent="0.3">
      <c r="A1066" t="s">
        <v>1133</v>
      </c>
    </row>
    <row r="1067" spans="1:2" x14ac:dyDescent="0.3">
      <c r="A1067" t="s">
        <v>1134</v>
      </c>
      <c r="B1067">
        <v>0</v>
      </c>
    </row>
    <row r="1068" spans="1:2" x14ac:dyDescent="0.3">
      <c r="A1068" t="s">
        <v>1135</v>
      </c>
      <c r="B1068">
        <v>16.53</v>
      </c>
    </row>
    <row r="1069" spans="1:2" x14ac:dyDescent="0.3">
      <c r="A1069" t="s">
        <v>1136</v>
      </c>
      <c r="B1069">
        <v>8.5500000000000007</v>
      </c>
    </row>
    <row r="1070" spans="1:2" x14ac:dyDescent="0.3">
      <c r="A1070" t="s">
        <v>1137</v>
      </c>
      <c r="B1070">
        <v>47.5</v>
      </c>
    </row>
    <row r="1071" spans="1:2" x14ac:dyDescent="0.3">
      <c r="A1071" t="s">
        <v>1138</v>
      </c>
      <c r="B1071">
        <v>16.54</v>
      </c>
    </row>
    <row r="1072" spans="1:2" x14ac:dyDescent="0.3">
      <c r="A1072" t="s">
        <v>1139</v>
      </c>
      <c r="B1072">
        <v>3.59</v>
      </c>
    </row>
    <row r="1073" spans="1:2" x14ac:dyDescent="0.3">
      <c r="A1073" t="s">
        <v>1140</v>
      </c>
      <c r="B1073">
        <v>10.88</v>
      </c>
    </row>
    <row r="1074" spans="1:2" x14ac:dyDescent="0.3">
      <c r="A1074" t="s">
        <v>1141</v>
      </c>
    </row>
    <row r="1075" spans="1:2" x14ac:dyDescent="0.3">
      <c r="A1075" t="s">
        <v>1142</v>
      </c>
    </row>
    <row r="1076" spans="1:2" x14ac:dyDescent="0.3">
      <c r="A1076" t="s">
        <v>1143</v>
      </c>
      <c r="B1076">
        <v>96</v>
      </c>
    </row>
    <row r="1077" spans="1:2" x14ac:dyDescent="0.3">
      <c r="A1077" t="s">
        <v>1144</v>
      </c>
    </row>
    <row r="1078" spans="1:2" x14ac:dyDescent="0.3">
      <c r="A1078" t="s">
        <v>1145</v>
      </c>
      <c r="B1078">
        <v>19.11</v>
      </c>
    </row>
    <row r="1079" spans="1:2" x14ac:dyDescent="0.3">
      <c r="A1079" t="s">
        <v>1146</v>
      </c>
    </row>
    <row r="1080" spans="1:2" x14ac:dyDescent="0.3">
      <c r="A1080" t="s">
        <v>1147</v>
      </c>
      <c r="B1080">
        <v>14.21</v>
      </c>
    </row>
    <row r="1081" spans="1:2" x14ac:dyDescent="0.3">
      <c r="A1081" t="s">
        <v>1148</v>
      </c>
    </row>
    <row r="1082" spans="1:2" x14ac:dyDescent="0.3">
      <c r="A1082" t="s">
        <v>1149</v>
      </c>
      <c r="B1082">
        <v>4.75</v>
      </c>
    </row>
    <row r="1083" spans="1:2" x14ac:dyDescent="0.3">
      <c r="A1083" t="s">
        <v>1150</v>
      </c>
      <c r="B1083">
        <v>9.3800000000000008</v>
      </c>
    </row>
    <row r="1084" spans="1:2" x14ac:dyDescent="0.3">
      <c r="A1084" t="s">
        <v>1151</v>
      </c>
      <c r="B1084">
        <v>5.57</v>
      </c>
    </row>
    <row r="1085" spans="1:2" x14ac:dyDescent="0.3">
      <c r="A1085" t="s">
        <v>1152</v>
      </c>
      <c r="B1085">
        <v>21.68</v>
      </c>
    </row>
    <row r="1086" spans="1:2" x14ac:dyDescent="0.3">
      <c r="A1086" t="s">
        <v>1153</v>
      </c>
      <c r="B1086">
        <v>6.4</v>
      </c>
    </row>
    <row r="1087" spans="1:2" x14ac:dyDescent="0.3">
      <c r="A1087" t="s">
        <v>1154</v>
      </c>
      <c r="B1087">
        <v>48.18</v>
      </c>
    </row>
    <row r="1088" spans="1:2" x14ac:dyDescent="0.3">
      <c r="A1088" t="s">
        <v>1155</v>
      </c>
      <c r="B1088">
        <v>9.24</v>
      </c>
    </row>
    <row r="1089" spans="1:2" x14ac:dyDescent="0.3">
      <c r="A1089" t="s">
        <v>1156</v>
      </c>
      <c r="B1089">
        <v>4.97</v>
      </c>
    </row>
    <row r="1090" spans="1:2" x14ac:dyDescent="0.3">
      <c r="A1090" t="s">
        <v>1157</v>
      </c>
      <c r="B1090">
        <v>5.5</v>
      </c>
    </row>
    <row r="1091" spans="1:2" x14ac:dyDescent="0.3">
      <c r="A1091" t="s">
        <v>1158</v>
      </c>
      <c r="B1091">
        <v>20.25</v>
      </c>
    </row>
    <row r="1092" spans="1:2" x14ac:dyDescent="0.3">
      <c r="A1092" t="s">
        <v>1159</v>
      </c>
      <c r="B1092">
        <v>29</v>
      </c>
    </row>
    <row r="1093" spans="1:2" x14ac:dyDescent="0.3">
      <c r="A1093" t="s">
        <v>1159</v>
      </c>
      <c r="B1093">
        <v>29</v>
      </c>
    </row>
    <row r="1094" spans="1:2" x14ac:dyDescent="0.3">
      <c r="A1094" t="s">
        <v>1160</v>
      </c>
      <c r="B1094">
        <v>19</v>
      </c>
    </row>
    <row r="1095" spans="1:2" x14ac:dyDescent="0.3">
      <c r="A1095" t="s">
        <v>1161</v>
      </c>
      <c r="B1095">
        <v>7.88</v>
      </c>
    </row>
    <row r="1096" spans="1:2" x14ac:dyDescent="0.3">
      <c r="A1096" t="s">
        <v>1162</v>
      </c>
      <c r="B1096">
        <v>7.88</v>
      </c>
    </row>
    <row r="1097" spans="1:2" x14ac:dyDescent="0.3">
      <c r="A1097" t="s">
        <v>1163</v>
      </c>
      <c r="B1097">
        <v>8.34</v>
      </c>
    </row>
    <row r="1098" spans="1:2" x14ac:dyDescent="0.3">
      <c r="A1098" t="s">
        <v>1164</v>
      </c>
      <c r="B1098">
        <v>18.149999999999999</v>
      </c>
    </row>
    <row r="1099" spans="1:2" x14ac:dyDescent="0.3">
      <c r="A1099" t="s">
        <v>1165</v>
      </c>
    </row>
    <row r="1100" spans="1:2" x14ac:dyDescent="0.3">
      <c r="A1100" t="s">
        <v>1166</v>
      </c>
    </row>
    <row r="1101" spans="1:2" x14ac:dyDescent="0.3">
      <c r="A1101" t="s">
        <v>1167</v>
      </c>
      <c r="B1101">
        <v>3.61</v>
      </c>
    </row>
    <row r="1102" spans="1:2" x14ac:dyDescent="0.3">
      <c r="A1102" t="s">
        <v>1168</v>
      </c>
      <c r="B1102">
        <v>17.899999999999999</v>
      </c>
    </row>
    <row r="1103" spans="1:2" x14ac:dyDescent="0.3">
      <c r="A1103" t="s">
        <v>1169</v>
      </c>
      <c r="B1103">
        <v>56.68</v>
      </c>
    </row>
    <row r="1104" spans="1:2" x14ac:dyDescent="0.3">
      <c r="A1104" t="s">
        <v>1170</v>
      </c>
      <c r="B1104">
        <v>106.55</v>
      </c>
    </row>
    <row r="1105" spans="1:2" x14ac:dyDescent="0.3">
      <c r="A1105" t="s">
        <v>1171</v>
      </c>
      <c r="B1105">
        <v>0</v>
      </c>
    </row>
    <row r="1106" spans="1:2" x14ac:dyDescent="0.3">
      <c r="A1106" t="s">
        <v>1172</v>
      </c>
      <c r="B1106">
        <v>29.95</v>
      </c>
    </row>
    <row r="1107" spans="1:2" x14ac:dyDescent="0.3">
      <c r="A1107" t="s">
        <v>1173</v>
      </c>
      <c r="B1107">
        <v>3.89</v>
      </c>
    </row>
    <row r="1108" spans="1:2" x14ac:dyDescent="0.3">
      <c r="A1108" t="s">
        <v>1174</v>
      </c>
      <c r="B1108">
        <v>68.19</v>
      </c>
    </row>
    <row r="1109" spans="1:2" x14ac:dyDescent="0.3">
      <c r="A1109" t="s">
        <v>1175</v>
      </c>
      <c r="B1109">
        <v>1.34</v>
      </c>
    </row>
    <row r="1110" spans="1:2" x14ac:dyDescent="0.3">
      <c r="A1110" t="s">
        <v>1176</v>
      </c>
      <c r="B1110">
        <v>14.59</v>
      </c>
    </row>
    <row r="1111" spans="1:2" x14ac:dyDescent="0.3">
      <c r="A1111" t="s">
        <v>1177</v>
      </c>
      <c r="B1111">
        <v>19.399999999999999</v>
      </c>
    </row>
    <row r="1112" spans="1:2" x14ac:dyDescent="0.3">
      <c r="A1112" t="s">
        <v>1178</v>
      </c>
      <c r="B1112">
        <v>51.8</v>
      </c>
    </row>
    <row r="1113" spans="1:2" x14ac:dyDescent="0.3">
      <c r="A1113" t="s">
        <v>1179</v>
      </c>
      <c r="B1113">
        <v>5.74</v>
      </c>
    </row>
    <row r="1114" spans="1:2" x14ac:dyDescent="0.3">
      <c r="A1114" t="s">
        <v>1180</v>
      </c>
      <c r="B1114">
        <v>7.51</v>
      </c>
    </row>
    <row r="1115" spans="1:2" x14ac:dyDescent="0.3">
      <c r="A1115" t="s">
        <v>1181</v>
      </c>
      <c r="B1115">
        <v>26.86</v>
      </c>
    </row>
    <row r="1116" spans="1:2" x14ac:dyDescent="0.3">
      <c r="A1116" t="s">
        <v>1182</v>
      </c>
      <c r="B1116">
        <v>4.38</v>
      </c>
    </row>
    <row r="1117" spans="1:2" x14ac:dyDescent="0.3">
      <c r="A1117" t="s">
        <v>1183</v>
      </c>
    </row>
    <row r="1118" spans="1:2" x14ac:dyDescent="0.3">
      <c r="A1118" t="s">
        <v>1184</v>
      </c>
      <c r="B1118">
        <v>8.99</v>
      </c>
    </row>
    <row r="1119" spans="1:2" x14ac:dyDescent="0.3">
      <c r="A1119" t="s">
        <v>1185</v>
      </c>
      <c r="B1119">
        <v>7.55</v>
      </c>
    </row>
    <row r="1120" spans="1:2" x14ac:dyDescent="0.3">
      <c r="A1120" t="s">
        <v>1186</v>
      </c>
      <c r="B1120">
        <v>3.07</v>
      </c>
    </row>
    <row r="1121" spans="1:2" x14ac:dyDescent="0.3">
      <c r="A1121" t="s">
        <v>1187</v>
      </c>
      <c r="B1121">
        <v>12.4</v>
      </c>
    </row>
    <row r="1122" spans="1:2" x14ac:dyDescent="0.3">
      <c r="A1122" t="s">
        <v>1188</v>
      </c>
    </row>
    <row r="1123" spans="1:2" x14ac:dyDescent="0.3">
      <c r="A1123" t="s">
        <v>1189</v>
      </c>
      <c r="B1123">
        <v>14.23</v>
      </c>
    </row>
    <row r="1124" spans="1:2" x14ac:dyDescent="0.3">
      <c r="A1124" t="s">
        <v>1190</v>
      </c>
      <c r="B1124">
        <v>20.9</v>
      </c>
    </row>
    <row r="1125" spans="1:2" x14ac:dyDescent="0.3">
      <c r="A1125" t="s">
        <v>1191</v>
      </c>
      <c r="B1125">
        <v>37.65</v>
      </c>
    </row>
    <row r="1126" spans="1:2" x14ac:dyDescent="0.3">
      <c r="A1126" t="s">
        <v>1192</v>
      </c>
      <c r="B1126">
        <v>22.94</v>
      </c>
    </row>
    <row r="1127" spans="1:2" x14ac:dyDescent="0.3">
      <c r="A1127" t="s">
        <v>1193</v>
      </c>
      <c r="B1127">
        <v>32.42</v>
      </c>
    </row>
    <row r="1128" spans="1:2" x14ac:dyDescent="0.3">
      <c r="A1128" t="s">
        <v>1194</v>
      </c>
      <c r="B1128">
        <v>7.89</v>
      </c>
    </row>
    <row r="1129" spans="1:2" x14ac:dyDescent="0.3">
      <c r="A1129" t="s">
        <v>1195</v>
      </c>
      <c r="B1129">
        <v>12.64</v>
      </c>
    </row>
    <row r="1130" spans="1:2" x14ac:dyDescent="0.3">
      <c r="A1130" t="s">
        <v>1196</v>
      </c>
      <c r="B1130">
        <v>28.11</v>
      </c>
    </row>
    <row r="1131" spans="1:2" x14ac:dyDescent="0.3">
      <c r="A1131" t="s">
        <v>1197</v>
      </c>
      <c r="B1131">
        <v>8.4499999999999993</v>
      </c>
    </row>
    <row r="1132" spans="1:2" x14ac:dyDescent="0.3">
      <c r="A1132" t="s">
        <v>1198</v>
      </c>
      <c r="B1132">
        <v>32.5</v>
      </c>
    </row>
    <row r="1133" spans="1:2" x14ac:dyDescent="0.3">
      <c r="A1133" t="s">
        <v>1199</v>
      </c>
    </row>
    <row r="1134" spans="1:2" x14ac:dyDescent="0.3">
      <c r="A1134" t="s">
        <v>1200</v>
      </c>
      <c r="B1134">
        <v>4410</v>
      </c>
    </row>
    <row r="1135" spans="1:2" x14ac:dyDescent="0.3">
      <c r="A1135" t="s">
        <v>1201</v>
      </c>
      <c r="B1135">
        <v>29.49</v>
      </c>
    </row>
    <row r="1136" spans="1:2" x14ac:dyDescent="0.3">
      <c r="A1136" t="s">
        <v>1202</v>
      </c>
      <c r="B1136">
        <v>29.83</v>
      </c>
    </row>
    <row r="1137" spans="1:2" x14ac:dyDescent="0.3">
      <c r="A1137" t="s">
        <v>1203</v>
      </c>
    </row>
    <row r="1138" spans="1:2" x14ac:dyDescent="0.3">
      <c r="A1138" t="s">
        <v>1204</v>
      </c>
    </row>
    <row r="1139" spans="1:2" x14ac:dyDescent="0.3">
      <c r="A1139" t="s">
        <v>1205</v>
      </c>
    </row>
    <row r="1140" spans="1:2" x14ac:dyDescent="0.3">
      <c r="A1140" t="s">
        <v>1206</v>
      </c>
      <c r="B1140">
        <v>21.96</v>
      </c>
    </row>
    <row r="1141" spans="1:2" x14ac:dyDescent="0.3">
      <c r="A1141" t="s">
        <v>1207</v>
      </c>
      <c r="B1141">
        <v>6.25</v>
      </c>
    </row>
    <row r="1142" spans="1:2" x14ac:dyDescent="0.3">
      <c r="A1142" t="s">
        <v>1208</v>
      </c>
      <c r="B1142">
        <v>4.7300000000000004</v>
      </c>
    </row>
    <row r="1143" spans="1:2" x14ac:dyDescent="0.3">
      <c r="A1143" t="s">
        <v>1209</v>
      </c>
    </row>
    <row r="1144" spans="1:2" x14ac:dyDescent="0.3">
      <c r="A1144" t="s">
        <v>1210</v>
      </c>
    </row>
    <row r="1145" spans="1:2" x14ac:dyDescent="0.3">
      <c r="A1145" t="s">
        <v>1211</v>
      </c>
      <c r="B1145">
        <v>12.13</v>
      </c>
    </row>
    <row r="1146" spans="1:2" x14ac:dyDescent="0.3">
      <c r="A1146" t="s">
        <v>1212</v>
      </c>
      <c r="B1146">
        <v>15.47</v>
      </c>
    </row>
    <row r="1147" spans="1:2" x14ac:dyDescent="0.3">
      <c r="A1147" t="s">
        <v>1213</v>
      </c>
      <c r="B1147">
        <v>28.55</v>
      </c>
    </row>
    <row r="1148" spans="1:2" x14ac:dyDescent="0.3">
      <c r="A1148" t="s">
        <v>1214</v>
      </c>
      <c r="B1148">
        <v>13670</v>
      </c>
    </row>
    <row r="1149" spans="1:2" x14ac:dyDescent="0.3">
      <c r="A1149" t="s">
        <v>1215</v>
      </c>
      <c r="B1149">
        <v>20.75</v>
      </c>
    </row>
    <row r="1150" spans="1:2" x14ac:dyDescent="0.3">
      <c r="A1150" t="s">
        <v>1216</v>
      </c>
    </row>
    <row r="1151" spans="1:2" x14ac:dyDescent="0.3">
      <c r="A1151" t="s">
        <v>1217</v>
      </c>
      <c r="B1151">
        <v>15.62</v>
      </c>
    </row>
    <row r="1152" spans="1:2" x14ac:dyDescent="0.3">
      <c r="A1152" t="s">
        <v>1218</v>
      </c>
      <c r="B1152">
        <v>8.23</v>
      </c>
    </row>
    <row r="1153" spans="1:2" x14ac:dyDescent="0.3">
      <c r="A1153" t="s">
        <v>1219</v>
      </c>
      <c r="B1153">
        <v>36920</v>
      </c>
    </row>
    <row r="1154" spans="1:2" x14ac:dyDescent="0.3">
      <c r="A1154" t="s">
        <v>1220</v>
      </c>
    </row>
    <row r="1155" spans="1:2" x14ac:dyDescent="0.3">
      <c r="A1155" t="s">
        <v>1221</v>
      </c>
      <c r="B1155">
        <v>22.08</v>
      </c>
    </row>
    <row r="1156" spans="1:2" x14ac:dyDescent="0.3">
      <c r="A1156" t="s">
        <v>1222</v>
      </c>
    </row>
    <row r="1157" spans="1:2" x14ac:dyDescent="0.3">
      <c r="A1157" t="s">
        <v>1223</v>
      </c>
      <c r="B1157">
        <v>18.09</v>
      </c>
    </row>
    <row r="1158" spans="1:2" x14ac:dyDescent="0.3">
      <c r="A1158" t="s">
        <v>1224</v>
      </c>
    </row>
    <row r="1159" spans="1:2" x14ac:dyDescent="0.3">
      <c r="A1159" t="s">
        <v>1225</v>
      </c>
      <c r="B1159">
        <v>18</v>
      </c>
    </row>
    <row r="1160" spans="1:2" x14ac:dyDescent="0.3">
      <c r="A1160" t="s">
        <v>1226</v>
      </c>
      <c r="B1160">
        <v>11.74</v>
      </c>
    </row>
    <row r="1161" spans="1:2" x14ac:dyDescent="0.3">
      <c r="A1161" t="s">
        <v>1227</v>
      </c>
      <c r="B1161">
        <v>11.54</v>
      </c>
    </row>
    <row r="1162" spans="1:2" x14ac:dyDescent="0.3">
      <c r="A1162" t="s">
        <v>1228</v>
      </c>
      <c r="B1162">
        <v>11.59</v>
      </c>
    </row>
    <row r="1163" spans="1:2" x14ac:dyDescent="0.3">
      <c r="A1163" t="s">
        <v>1229</v>
      </c>
      <c r="B1163">
        <v>12.94</v>
      </c>
    </row>
    <row r="1164" spans="1:2" x14ac:dyDescent="0.3">
      <c r="A1164" t="s">
        <v>1230</v>
      </c>
      <c r="B1164">
        <v>22.41</v>
      </c>
    </row>
    <row r="1165" spans="1:2" x14ac:dyDescent="0.3">
      <c r="A1165" t="s">
        <v>1231</v>
      </c>
      <c r="B1165">
        <v>14.5</v>
      </c>
    </row>
    <row r="1166" spans="1:2" x14ac:dyDescent="0.3">
      <c r="A1166" t="s">
        <v>1232</v>
      </c>
      <c r="B1166">
        <v>8.7899999999999991</v>
      </c>
    </row>
    <row r="1167" spans="1:2" x14ac:dyDescent="0.3">
      <c r="A1167" t="s">
        <v>1233</v>
      </c>
    </row>
    <row r="1168" spans="1:2" x14ac:dyDescent="0.3">
      <c r="A1168" t="s">
        <v>1234</v>
      </c>
      <c r="B1168">
        <v>6.85</v>
      </c>
    </row>
    <row r="1169" spans="1:2" x14ac:dyDescent="0.3">
      <c r="A1169" t="s">
        <v>1235</v>
      </c>
      <c r="B1169">
        <v>7.83</v>
      </c>
    </row>
    <row r="1170" spans="1:2" x14ac:dyDescent="0.3">
      <c r="A1170" t="s">
        <v>1236</v>
      </c>
    </row>
    <row r="1171" spans="1:2" x14ac:dyDescent="0.3">
      <c r="A1171" t="s">
        <v>1237</v>
      </c>
    </row>
    <row r="1172" spans="1:2" x14ac:dyDescent="0.3">
      <c r="A1172" t="s">
        <v>1238</v>
      </c>
    </row>
    <row r="1173" spans="1:2" x14ac:dyDescent="0.3">
      <c r="A1173" t="s">
        <v>1239</v>
      </c>
    </row>
    <row r="1174" spans="1:2" x14ac:dyDescent="0.3">
      <c r="A1174" t="s">
        <v>1240</v>
      </c>
      <c r="B1174">
        <v>36.159999999999997</v>
      </c>
    </row>
    <row r="1175" spans="1:2" x14ac:dyDescent="0.3">
      <c r="A1175" t="s">
        <v>1241</v>
      </c>
      <c r="B1175">
        <v>41</v>
      </c>
    </row>
    <row r="1176" spans="1:2" x14ac:dyDescent="0.3">
      <c r="A1176" t="s">
        <v>1242</v>
      </c>
      <c r="B1176">
        <v>41</v>
      </c>
    </row>
    <row r="1177" spans="1:2" x14ac:dyDescent="0.3">
      <c r="A1177" t="s">
        <v>1243</v>
      </c>
      <c r="B1177">
        <v>29.15</v>
      </c>
    </row>
    <row r="1178" spans="1:2" x14ac:dyDescent="0.3">
      <c r="A1178" t="s">
        <v>1244</v>
      </c>
    </row>
    <row r="1179" spans="1:2" x14ac:dyDescent="0.3">
      <c r="A1179" t="s">
        <v>1245</v>
      </c>
      <c r="B1179">
        <v>60.69</v>
      </c>
    </row>
    <row r="1180" spans="1:2" x14ac:dyDescent="0.3">
      <c r="A1180" t="s">
        <v>1246</v>
      </c>
      <c r="B1180">
        <v>7.1</v>
      </c>
    </row>
    <row r="1181" spans="1:2" x14ac:dyDescent="0.3">
      <c r="A1181" t="s">
        <v>1247</v>
      </c>
      <c r="B1181">
        <v>10.17</v>
      </c>
    </row>
    <row r="1182" spans="1:2" x14ac:dyDescent="0.3">
      <c r="A1182" t="s">
        <v>1248</v>
      </c>
    </row>
    <row r="1183" spans="1:2" x14ac:dyDescent="0.3">
      <c r="A1183" t="s">
        <v>1249</v>
      </c>
      <c r="B1183">
        <v>17.05</v>
      </c>
    </row>
    <row r="1184" spans="1:2" x14ac:dyDescent="0.3">
      <c r="A1184" t="s">
        <v>1250</v>
      </c>
      <c r="B1184">
        <v>18.829999999999998</v>
      </c>
    </row>
    <row r="1185" spans="1:2" x14ac:dyDescent="0.3">
      <c r="A1185" t="s">
        <v>1251</v>
      </c>
    </row>
    <row r="1186" spans="1:2" x14ac:dyDescent="0.3">
      <c r="A1186" t="s">
        <v>1252</v>
      </c>
    </row>
    <row r="1187" spans="1:2" x14ac:dyDescent="0.3">
      <c r="A1187" t="s">
        <v>1253</v>
      </c>
      <c r="B1187">
        <v>42.79</v>
      </c>
    </row>
    <row r="1188" spans="1:2" x14ac:dyDescent="0.3">
      <c r="A1188" t="s">
        <v>1254</v>
      </c>
    </row>
    <row r="1189" spans="1:2" x14ac:dyDescent="0.3">
      <c r="A1189" t="s">
        <v>1255</v>
      </c>
      <c r="B1189">
        <v>41.58</v>
      </c>
    </row>
    <row r="1190" spans="1:2" x14ac:dyDescent="0.3">
      <c r="A1190" t="s">
        <v>1256</v>
      </c>
    </row>
    <row r="1191" spans="1:2" x14ac:dyDescent="0.3">
      <c r="A1191" t="s">
        <v>1257</v>
      </c>
      <c r="B1191">
        <v>31.5</v>
      </c>
    </row>
    <row r="1192" spans="1:2" x14ac:dyDescent="0.3">
      <c r="A1192" t="s">
        <v>1258</v>
      </c>
    </row>
    <row r="1193" spans="1:2" x14ac:dyDescent="0.3">
      <c r="A1193" t="s">
        <v>1259</v>
      </c>
      <c r="B1193">
        <v>24.5</v>
      </c>
    </row>
    <row r="1194" spans="1:2" x14ac:dyDescent="0.3">
      <c r="A1194" t="s">
        <v>1260</v>
      </c>
      <c r="B1194">
        <v>21.8</v>
      </c>
    </row>
    <row r="1195" spans="1:2" x14ac:dyDescent="0.3">
      <c r="A1195" t="s">
        <v>1261</v>
      </c>
    </row>
    <row r="1196" spans="1:2" x14ac:dyDescent="0.3">
      <c r="A1196" t="s">
        <v>1262</v>
      </c>
    </row>
    <row r="1197" spans="1:2" x14ac:dyDescent="0.3">
      <c r="A1197" t="s">
        <v>1263</v>
      </c>
      <c r="B1197">
        <v>10.58</v>
      </c>
    </row>
    <row r="1198" spans="1:2" x14ac:dyDescent="0.3">
      <c r="A1198" t="s">
        <v>1264</v>
      </c>
      <c r="B1198">
        <v>10050</v>
      </c>
    </row>
    <row r="1199" spans="1:2" x14ac:dyDescent="0.3">
      <c r="A1199" t="s">
        <v>1265</v>
      </c>
    </row>
    <row r="1200" spans="1:2" x14ac:dyDescent="0.3">
      <c r="A1200" t="s">
        <v>1266</v>
      </c>
      <c r="B1200">
        <v>7.06</v>
      </c>
    </row>
    <row r="1201" spans="1:2" x14ac:dyDescent="0.3">
      <c r="A1201" t="s">
        <v>1267</v>
      </c>
      <c r="B1201">
        <v>14.33</v>
      </c>
    </row>
    <row r="1202" spans="1:2" x14ac:dyDescent="0.3">
      <c r="A1202" t="s">
        <v>1268</v>
      </c>
    </row>
    <row r="1203" spans="1:2" x14ac:dyDescent="0.3">
      <c r="A1203" t="s">
        <v>1269</v>
      </c>
      <c r="B1203">
        <v>3.24</v>
      </c>
    </row>
    <row r="1204" spans="1:2" x14ac:dyDescent="0.3">
      <c r="A1204" t="s">
        <v>1270</v>
      </c>
      <c r="B1204">
        <v>32</v>
      </c>
    </row>
    <row r="1205" spans="1:2" x14ac:dyDescent="0.3">
      <c r="A1205" t="s">
        <v>1271</v>
      </c>
    </row>
    <row r="1206" spans="1:2" x14ac:dyDescent="0.3">
      <c r="A1206" t="s">
        <v>1272</v>
      </c>
      <c r="B1206">
        <v>17.489999999999998</v>
      </c>
    </row>
    <row r="1207" spans="1:2" x14ac:dyDescent="0.3">
      <c r="A1207" t="s">
        <v>1273</v>
      </c>
    </row>
    <row r="1208" spans="1:2" x14ac:dyDescent="0.3">
      <c r="A1208" t="s">
        <v>1274</v>
      </c>
      <c r="B1208">
        <v>6.31</v>
      </c>
    </row>
    <row r="1209" spans="1:2" x14ac:dyDescent="0.3">
      <c r="A1209" t="s">
        <v>1275</v>
      </c>
    </row>
    <row r="1210" spans="1:2" x14ac:dyDescent="0.3">
      <c r="A1210" t="s">
        <v>1276</v>
      </c>
    </row>
    <row r="1211" spans="1:2" x14ac:dyDescent="0.3">
      <c r="A1211" t="s">
        <v>1277</v>
      </c>
    </row>
    <row r="1212" spans="1:2" x14ac:dyDescent="0.3">
      <c r="A1212" t="s">
        <v>1278</v>
      </c>
      <c r="B1212">
        <v>11</v>
      </c>
    </row>
    <row r="1213" spans="1:2" x14ac:dyDescent="0.3">
      <c r="A1213" t="s">
        <v>1279</v>
      </c>
      <c r="B1213">
        <v>14.53</v>
      </c>
    </row>
    <row r="1214" spans="1:2" x14ac:dyDescent="0.3">
      <c r="A1214" t="s">
        <v>1280</v>
      </c>
    </row>
    <row r="1215" spans="1:2" x14ac:dyDescent="0.3">
      <c r="A1215" t="s">
        <v>1281</v>
      </c>
      <c r="B1215">
        <v>4.8</v>
      </c>
    </row>
    <row r="1216" spans="1:2" x14ac:dyDescent="0.3">
      <c r="A1216" t="s">
        <v>1282</v>
      </c>
      <c r="B1216">
        <v>11.06</v>
      </c>
    </row>
    <row r="1217" spans="1:2" x14ac:dyDescent="0.3">
      <c r="A1217" t="s">
        <v>1283</v>
      </c>
      <c r="B1217">
        <v>33.06</v>
      </c>
    </row>
    <row r="1218" spans="1:2" x14ac:dyDescent="0.3">
      <c r="A1218" t="s">
        <v>1284</v>
      </c>
    </row>
    <row r="1219" spans="1:2" x14ac:dyDescent="0.3">
      <c r="A1219" t="s">
        <v>1285</v>
      </c>
      <c r="B1219">
        <v>15.93</v>
      </c>
    </row>
    <row r="1220" spans="1:2" x14ac:dyDescent="0.3">
      <c r="A1220" t="s">
        <v>1286</v>
      </c>
      <c r="B1220">
        <v>7.75</v>
      </c>
    </row>
    <row r="1221" spans="1:2" x14ac:dyDescent="0.3">
      <c r="A1221" t="s">
        <v>1287</v>
      </c>
    </row>
    <row r="1222" spans="1:2" x14ac:dyDescent="0.3">
      <c r="A1222" t="s">
        <v>1288</v>
      </c>
      <c r="B1222">
        <v>8.09</v>
      </c>
    </row>
    <row r="1223" spans="1:2" x14ac:dyDescent="0.3">
      <c r="A1223" t="s">
        <v>1289</v>
      </c>
    </row>
    <row r="1224" spans="1:2" x14ac:dyDescent="0.3">
      <c r="A1224" t="s">
        <v>1290</v>
      </c>
      <c r="B1224">
        <v>10.33</v>
      </c>
    </row>
    <row r="1225" spans="1:2" x14ac:dyDescent="0.3">
      <c r="A1225" t="s">
        <v>1291</v>
      </c>
      <c r="B1225">
        <v>17430</v>
      </c>
    </row>
    <row r="1226" spans="1:2" x14ac:dyDescent="0.3">
      <c r="A1226" t="s">
        <v>1292</v>
      </c>
      <c r="B1226">
        <v>47.92</v>
      </c>
    </row>
    <row r="1227" spans="1:2" x14ac:dyDescent="0.3">
      <c r="A1227" t="s">
        <v>1293</v>
      </c>
    </row>
    <row r="1228" spans="1:2" x14ac:dyDescent="0.3">
      <c r="A1228" t="s">
        <v>1294</v>
      </c>
    </row>
    <row r="1229" spans="1:2" x14ac:dyDescent="0.3">
      <c r="A1229" t="s">
        <v>1295</v>
      </c>
      <c r="B1229">
        <v>70.13</v>
      </c>
    </row>
    <row r="1230" spans="1:2" x14ac:dyDescent="0.3">
      <c r="A1230" t="s">
        <v>1296</v>
      </c>
      <c r="B1230">
        <v>12.87</v>
      </c>
    </row>
    <row r="1231" spans="1:2" x14ac:dyDescent="0.3">
      <c r="A1231" t="s">
        <v>1297</v>
      </c>
      <c r="B1231">
        <v>6.29</v>
      </c>
    </row>
    <row r="1232" spans="1:2" x14ac:dyDescent="0.3">
      <c r="A1232" t="s">
        <v>1298</v>
      </c>
      <c r="B1232">
        <v>70.849999999999994</v>
      </c>
    </row>
    <row r="1233" spans="1:2" x14ac:dyDescent="0.3">
      <c r="A1233" t="s">
        <v>1299</v>
      </c>
      <c r="B1233">
        <v>5.57</v>
      </c>
    </row>
    <row r="1234" spans="1:2" x14ac:dyDescent="0.3">
      <c r="A1234" t="s">
        <v>1300</v>
      </c>
      <c r="B1234">
        <v>8.9499999999999993</v>
      </c>
    </row>
    <row r="1235" spans="1:2" x14ac:dyDescent="0.3">
      <c r="A1235" t="s">
        <v>1301</v>
      </c>
      <c r="B1235">
        <v>123.35</v>
      </c>
    </row>
    <row r="1236" spans="1:2" x14ac:dyDescent="0.3">
      <c r="A1236" t="s">
        <v>1302</v>
      </c>
    </row>
    <row r="1237" spans="1:2" x14ac:dyDescent="0.3">
      <c r="A1237" t="s">
        <v>1303</v>
      </c>
      <c r="B1237">
        <v>16.649999999999999</v>
      </c>
    </row>
    <row r="1238" spans="1:2" x14ac:dyDescent="0.3">
      <c r="A1238" t="s">
        <v>1304</v>
      </c>
      <c r="B1238">
        <v>39.340000000000003</v>
      </c>
    </row>
    <row r="1239" spans="1:2" x14ac:dyDescent="0.3">
      <c r="A1239" t="s">
        <v>1305</v>
      </c>
    </row>
    <row r="1240" spans="1:2" x14ac:dyDescent="0.3">
      <c r="A1240" t="s">
        <v>1306</v>
      </c>
      <c r="B1240">
        <v>5.78</v>
      </c>
    </row>
    <row r="1241" spans="1:2" x14ac:dyDescent="0.3">
      <c r="A1241" t="s">
        <v>1307</v>
      </c>
      <c r="B1241">
        <v>0</v>
      </c>
    </row>
    <row r="1242" spans="1:2" x14ac:dyDescent="0.3">
      <c r="A1242" t="s">
        <v>1308</v>
      </c>
    </row>
    <row r="1243" spans="1:2" x14ac:dyDescent="0.3">
      <c r="A1243" t="s">
        <v>1309</v>
      </c>
      <c r="B1243">
        <v>14.95</v>
      </c>
    </row>
    <row r="1244" spans="1:2" x14ac:dyDescent="0.3">
      <c r="A1244" t="s">
        <v>1310</v>
      </c>
    </row>
    <row r="1245" spans="1:2" x14ac:dyDescent="0.3">
      <c r="A1245" t="s">
        <v>1311</v>
      </c>
    </row>
    <row r="1246" spans="1:2" x14ac:dyDescent="0.3">
      <c r="A1246" t="s">
        <v>1312</v>
      </c>
      <c r="B1246">
        <v>5.85</v>
      </c>
    </row>
    <row r="1247" spans="1:2" x14ac:dyDescent="0.3">
      <c r="A1247" t="s">
        <v>1313</v>
      </c>
      <c r="B1247">
        <v>32.74</v>
      </c>
    </row>
    <row r="1248" spans="1:2" x14ac:dyDescent="0.3">
      <c r="A1248" t="s">
        <v>1314</v>
      </c>
      <c r="B1248">
        <v>4.67</v>
      </c>
    </row>
    <row r="1249" spans="1:2" x14ac:dyDescent="0.3">
      <c r="A1249" t="s">
        <v>1315</v>
      </c>
    </row>
    <row r="1250" spans="1:2" x14ac:dyDescent="0.3">
      <c r="A1250" t="s">
        <v>1316</v>
      </c>
    </row>
    <row r="1251" spans="1:2" x14ac:dyDescent="0.3">
      <c r="A1251" t="s">
        <v>1317</v>
      </c>
      <c r="B1251">
        <v>126.71</v>
      </c>
    </row>
    <row r="1252" spans="1:2" x14ac:dyDescent="0.3">
      <c r="A1252" t="s">
        <v>1318</v>
      </c>
      <c r="B1252">
        <v>37.47</v>
      </c>
    </row>
    <row r="1253" spans="1:2" x14ac:dyDescent="0.3">
      <c r="A1253" t="s">
        <v>1319</v>
      </c>
      <c r="B1253">
        <v>2.84</v>
      </c>
    </row>
    <row r="1254" spans="1:2" x14ac:dyDescent="0.3">
      <c r="A1254" t="s">
        <v>1320</v>
      </c>
      <c r="B1254">
        <v>3.59</v>
      </c>
    </row>
    <row r="1255" spans="1:2" x14ac:dyDescent="0.3">
      <c r="A1255" t="s">
        <v>1321</v>
      </c>
      <c r="B1255">
        <v>30.27</v>
      </c>
    </row>
    <row r="1256" spans="1:2" x14ac:dyDescent="0.3">
      <c r="A1256" t="s">
        <v>1322</v>
      </c>
      <c r="B1256">
        <v>17.97</v>
      </c>
    </row>
    <row r="1257" spans="1:2" x14ac:dyDescent="0.3">
      <c r="A1257" t="s">
        <v>1323</v>
      </c>
    </row>
    <row r="1258" spans="1:2" x14ac:dyDescent="0.3">
      <c r="A1258" t="s">
        <v>1324</v>
      </c>
      <c r="B1258">
        <v>3.61</v>
      </c>
    </row>
    <row r="1259" spans="1:2" x14ac:dyDescent="0.3">
      <c r="A1259" t="s">
        <v>1325</v>
      </c>
    </row>
    <row r="1260" spans="1:2" x14ac:dyDescent="0.3">
      <c r="A1260" t="s">
        <v>1326</v>
      </c>
      <c r="B1260">
        <v>4.63</v>
      </c>
    </row>
    <row r="1261" spans="1:2" x14ac:dyDescent="0.3">
      <c r="A1261" t="s">
        <v>1327</v>
      </c>
    </row>
    <row r="1262" spans="1:2" x14ac:dyDescent="0.3">
      <c r="A1262" t="s">
        <v>1328</v>
      </c>
    </row>
    <row r="1263" spans="1:2" x14ac:dyDescent="0.3">
      <c r="A1263" t="s">
        <v>1329</v>
      </c>
      <c r="B1263">
        <v>40.06</v>
      </c>
    </row>
    <row r="1264" spans="1:2" x14ac:dyDescent="0.3">
      <c r="A1264" t="s">
        <v>1330</v>
      </c>
      <c r="B1264">
        <v>4.2300000000000004</v>
      </c>
    </row>
    <row r="1265" spans="1:2" x14ac:dyDescent="0.3">
      <c r="A1265" t="s">
        <v>1331</v>
      </c>
      <c r="B1265">
        <v>15.56</v>
      </c>
    </row>
    <row r="1266" spans="1:2" x14ac:dyDescent="0.3">
      <c r="A1266" t="s">
        <v>1332</v>
      </c>
      <c r="B1266">
        <v>4.1399999999999997</v>
      </c>
    </row>
    <row r="1267" spans="1:2" x14ac:dyDescent="0.3">
      <c r="A1267" t="s">
        <v>1333</v>
      </c>
      <c r="B1267">
        <v>27.78</v>
      </c>
    </row>
    <row r="1268" spans="1:2" x14ac:dyDescent="0.3">
      <c r="A1268" t="s">
        <v>1334</v>
      </c>
    </row>
    <row r="1269" spans="1:2" x14ac:dyDescent="0.3">
      <c r="A1269" t="s">
        <v>1335</v>
      </c>
    </row>
    <row r="1270" spans="1:2" x14ac:dyDescent="0.3">
      <c r="A1270" t="s">
        <v>1336</v>
      </c>
      <c r="B1270">
        <v>37.5</v>
      </c>
    </row>
    <row r="1271" spans="1:2" x14ac:dyDescent="0.3">
      <c r="A1271" t="s">
        <v>1337</v>
      </c>
      <c r="B1271">
        <v>0</v>
      </c>
    </row>
    <row r="1272" spans="1:2" x14ac:dyDescent="0.3">
      <c r="A1272" t="s">
        <v>1338</v>
      </c>
      <c r="B1272">
        <v>11.74</v>
      </c>
    </row>
    <row r="1273" spans="1:2" x14ac:dyDescent="0.3">
      <c r="A1273" t="s">
        <v>1339</v>
      </c>
    </row>
    <row r="1274" spans="1:2" x14ac:dyDescent="0.3">
      <c r="A1274" t="s">
        <v>1340</v>
      </c>
    </row>
    <row r="1275" spans="1:2" x14ac:dyDescent="0.3">
      <c r="A1275" t="s">
        <v>1341</v>
      </c>
    </row>
    <row r="1276" spans="1:2" x14ac:dyDescent="0.3">
      <c r="A1276" t="s">
        <v>1342</v>
      </c>
      <c r="B1276">
        <v>19.38</v>
      </c>
    </row>
    <row r="1277" spans="1:2" x14ac:dyDescent="0.3">
      <c r="A1277" t="s">
        <v>1343</v>
      </c>
    </row>
    <row r="1278" spans="1:2" x14ac:dyDescent="0.3">
      <c r="A1278" t="s">
        <v>1344</v>
      </c>
    </row>
    <row r="1279" spans="1:2" x14ac:dyDescent="0.3">
      <c r="A1279" t="s">
        <v>1345</v>
      </c>
      <c r="B1279">
        <v>4017.5</v>
      </c>
    </row>
    <row r="1280" spans="1:2" x14ac:dyDescent="0.3">
      <c r="A1280" t="s">
        <v>1346</v>
      </c>
    </row>
    <row r="1281" spans="1:2" x14ac:dyDescent="0.3">
      <c r="A1281" t="s">
        <v>1347</v>
      </c>
    </row>
    <row r="1282" spans="1:2" x14ac:dyDescent="0.3">
      <c r="A1282" t="s">
        <v>1348</v>
      </c>
    </row>
    <row r="1283" spans="1:2" x14ac:dyDescent="0.3">
      <c r="A1283" t="s">
        <v>1349</v>
      </c>
    </row>
    <row r="1284" spans="1:2" x14ac:dyDescent="0.3">
      <c r="A1284" t="s">
        <v>1350</v>
      </c>
      <c r="B1284">
        <v>1.1000000000000001</v>
      </c>
    </row>
    <row r="1285" spans="1:2" x14ac:dyDescent="0.3">
      <c r="A1285" t="s">
        <v>1351</v>
      </c>
      <c r="B1285">
        <v>5.53</v>
      </c>
    </row>
    <row r="1286" spans="1:2" x14ac:dyDescent="0.3">
      <c r="A1286" t="s">
        <v>1352</v>
      </c>
      <c r="B1286">
        <v>55</v>
      </c>
    </row>
    <row r="1287" spans="1:2" x14ac:dyDescent="0.3">
      <c r="A1287" t="s">
        <v>1353</v>
      </c>
    </row>
    <row r="1288" spans="1:2" x14ac:dyDescent="0.3">
      <c r="A1288" t="s">
        <v>1354</v>
      </c>
    </row>
    <row r="1289" spans="1:2" x14ac:dyDescent="0.3">
      <c r="A1289" t="s">
        <v>1355</v>
      </c>
      <c r="B1289">
        <v>18.52</v>
      </c>
    </row>
    <row r="1290" spans="1:2" x14ac:dyDescent="0.3">
      <c r="A1290" t="s">
        <v>1356</v>
      </c>
    </row>
    <row r="1291" spans="1:2" x14ac:dyDescent="0.3">
      <c r="A1291" t="s">
        <v>1357</v>
      </c>
      <c r="B1291">
        <v>19.25</v>
      </c>
    </row>
    <row r="1292" spans="1:2" x14ac:dyDescent="0.3">
      <c r="A1292" t="s">
        <v>1358</v>
      </c>
      <c r="B1292">
        <v>15.82</v>
      </c>
    </row>
    <row r="1293" spans="1:2" x14ac:dyDescent="0.3">
      <c r="A1293" t="s">
        <v>1359</v>
      </c>
      <c r="B1293">
        <v>13</v>
      </c>
    </row>
    <row r="1294" spans="1:2" x14ac:dyDescent="0.3">
      <c r="A1294" t="s">
        <v>1360</v>
      </c>
      <c r="B1294">
        <v>9.35</v>
      </c>
    </row>
    <row r="1295" spans="1:2" x14ac:dyDescent="0.3">
      <c r="A1295" t="s">
        <v>1361</v>
      </c>
    </row>
    <row r="1296" spans="1:2" x14ac:dyDescent="0.3">
      <c r="A1296" t="s">
        <v>1362</v>
      </c>
    </row>
    <row r="1297" spans="1:2" x14ac:dyDescent="0.3">
      <c r="A1297" t="s">
        <v>1363</v>
      </c>
      <c r="B1297">
        <v>10.029999999999999</v>
      </c>
    </row>
    <row r="1298" spans="1:2" x14ac:dyDescent="0.3">
      <c r="A1298" t="s">
        <v>1364</v>
      </c>
    </row>
    <row r="1299" spans="1:2" x14ac:dyDescent="0.3">
      <c r="A1299" t="s">
        <v>1365</v>
      </c>
      <c r="B1299">
        <v>13</v>
      </c>
    </row>
    <row r="1300" spans="1:2" x14ac:dyDescent="0.3">
      <c r="A1300" t="s">
        <v>1366</v>
      </c>
      <c r="B1300">
        <v>57.32</v>
      </c>
    </row>
    <row r="1301" spans="1:2" x14ac:dyDescent="0.3">
      <c r="A1301" t="s">
        <v>1367</v>
      </c>
      <c r="B1301">
        <v>22.99</v>
      </c>
    </row>
    <row r="1302" spans="1:2" x14ac:dyDescent="0.3">
      <c r="A1302" t="s">
        <v>1368</v>
      </c>
    </row>
    <row r="1303" spans="1:2" x14ac:dyDescent="0.3">
      <c r="A1303" t="s">
        <v>1369</v>
      </c>
      <c r="B1303">
        <v>16.489999999999998</v>
      </c>
    </row>
    <row r="1304" spans="1:2" x14ac:dyDescent="0.3">
      <c r="A1304" t="s">
        <v>1370</v>
      </c>
      <c r="B1304">
        <v>8.5</v>
      </c>
    </row>
    <row r="1305" spans="1:2" x14ac:dyDescent="0.3">
      <c r="A1305" t="s">
        <v>1371</v>
      </c>
      <c r="B1305">
        <v>12.74</v>
      </c>
    </row>
    <row r="1306" spans="1:2" x14ac:dyDescent="0.3">
      <c r="A1306" t="s">
        <v>1372</v>
      </c>
      <c r="B1306">
        <v>180.01</v>
      </c>
    </row>
    <row r="1307" spans="1:2" x14ac:dyDescent="0.3">
      <c r="A1307" t="s">
        <v>1373</v>
      </c>
    </row>
    <row r="1308" spans="1:2" x14ac:dyDescent="0.3">
      <c r="A1308" t="s">
        <v>1374</v>
      </c>
      <c r="B1308">
        <v>36.700000000000003</v>
      </c>
    </row>
    <row r="1309" spans="1:2" x14ac:dyDescent="0.3">
      <c r="A1309" t="s">
        <v>1375</v>
      </c>
    </row>
    <row r="1310" spans="1:2" x14ac:dyDescent="0.3">
      <c r="A1310" t="s">
        <v>1376</v>
      </c>
      <c r="B1310">
        <v>12.96</v>
      </c>
    </row>
    <row r="1311" spans="1:2" x14ac:dyDescent="0.3">
      <c r="A1311" t="s">
        <v>1377</v>
      </c>
      <c r="B1311">
        <v>34.36</v>
      </c>
    </row>
    <row r="1312" spans="1:2" x14ac:dyDescent="0.3">
      <c r="A1312" t="s">
        <v>1378</v>
      </c>
      <c r="B1312">
        <v>5.35</v>
      </c>
    </row>
    <row r="1313" spans="1:2" x14ac:dyDescent="0.3">
      <c r="A1313" t="s">
        <v>1379</v>
      </c>
      <c r="B1313">
        <v>3297.5</v>
      </c>
    </row>
    <row r="1314" spans="1:2" x14ac:dyDescent="0.3">
      <c r="A1314" t="s">
        <v>1380</v>
      </c>
      <c r="B1314">
        <v>4.2699999999999996</v>
      </c>
    </row>
    <row r="1315" spans="1:2" x14ac:dyDescent="0.3">
      <c r="A1315" t="s">
        <v>1381</v>
      </c>
    </row>
    <row r="1316" spans="1:2" x14ac:dyDescent="0.3">
      <c r="A1316" t="s">
        <v>1382</v>
      </c>
    </row>
    <row r="1317" spans="1:2" x14ac:dyDescent="0.3">
      <c r="A1317" t="s">
        <v>1383</v>
      </c>
      <c r="B1317">
        <v>24.49</v>
      </c>
    </row>
    <row r="1318" spans="1:2" x14ac:dyDescent="0.3">
      <c r="A1318" t="s">
        <v>1384</v>
      </c>
    </row>
    <row r="1319" spans="1:2" x14ac:dyDescent="0.3">
      <c r="A1319" t="s">
        <v>1385</v>
      </c>
    </row>
    <row r="1320" spans="1:2" x14ac:dyDescent="0.3">
      <c r="A1320" t="s">
        <v>1386</v>
      </c>
      <c r="B1320">
        <v>14.49</v>
      </c>
    </row>
    <row r="1321" spans="1:2" x14ac:dyDescent="0.3">
      <c r="A1321" t="s">
        <v>1387</v>
      </c>
    </row>
    <row r="1322" spans="1:2" x14ac:dyDescent="0.3">
      <c r="A1322" t="s">
        <v>1388</v>
      </c>
    </row>
    <row r="1323" spans="1:2" x14ac:dyDescent="0.3">
      <c r="A1323" t="s">
        <v>1389</v>
      </c>
    </row>
    <row r="1324" spans="1:2" x14ac:dyDescent="0.3">
      <c r="A1324" t="s">
        <v>1390</v>
      </c>
      <c r="B1324">
        <v>7.35</v>
      </c>
    </row>
    <row r="1325" spans="1:2" x14ac:dyDescent="0.3">
      <c r="A1325" t="s">
        <v>1391</v>
      </c>
    </row>
    <row r="1326" spans="1:2" x14ac:dyDescent="0.3">
      <c r="A1326" t="s">
        <v>1392</v>
      </c>
      <c r="B1326">
        <v>3.21</v>
      </c>
    </row>
    <row r="1327" spans="1:2" x14ac:dyDescent="0.3">
      <c r="A1327" t="s">
        <v>1393</v>
      </c>
      <c r="B1327">
        <v>13.78</v>
      </c>
    </row>
    <row r="1328" spans="1:2" x14ac:dyDescent="0.3">
      <c r="A1328" t="s">
        <v>1394</v>
      </c>
      <c r="B1328">
        <v>10.130000000000001</v>
      </c>
    </row>
    <row r="1329" spans="1:2" x14ac:dyDescent="0.3">
      <c r="A1329" t="s">
        <v>1395</v>
      </c>
      <c r="B1329">
        <v>12.64</v>
      </c>
    </row>
    <row r="1330" spans="1:2" x14ac:dyDescent="0.3">
      <c r="A1330" t="s">
        <v>1396</v>
      </c>
    </row>
    <row r="1331" spans="1:2" x14ac:dyDescent="0.3">
      <c r="A1331" t="s">
        <v>1397</v>
      </c>
      <c r="B1331">
        <v>10.16</v>
      </c>
    </row>
    <row r="1332" spans="1:2" x14ac:dyDescent="0.3">
      <c r="A1332" t="s">
        <v>1398</v>
      </c>
      <c r="B1332">
        <v>49.56</v>
      </c>
    </row>
    <row r="1333" spans="1:2" x14ac:dyDescent="0.3">
      <c r="A1333" t="s">
        <v>1399</v>
      </c>
      <c r="B1333">
        <v>11</v>
      </c>
    </row>
    <row r="1334" spans="1:2" x14ac:dyDescent="0.3">
      <c r="A1334" t="s">
        <v>1400</v>
      </c>
    </row>
    <row r="1335" spans="1:2" x14ac:dyDescent="0.3">
      <c r="A1335" t="s">
        <v>1401</v>
      </c>
    </row>
    <row r="1336" spans="1:2" x14ac:dyDescent="0.3">
      <c r="A1336" t="s">
        <v>1402</v>
      </c>
    </row>
    <row r="1337" spans="1:2" x14ac:dyDescent="0.3">
      <c r="A1337" t="s">
        <v>1403</v>
      </c>
      <c r="B1337">
        <v>4.8099999999999996</v>
      </c>
    </row>
    <row r="1338" spans="1:2" x14ac:dyDescent="0.3">
      <c r="A1338" t="s">
        <v>1404</v>
      </c>
      <c r="B1338">
        <v>19.670000000000002</v>
      </c>
    </row>
    <row r="1339" spans="1:2" x14ac:dyDescent="0.3">
      <c r="A1339" t="s">
        <v>1405</v>
      </c>
    </row>
    <row r="1340" spans="1:2" x14ac:dyDescent="0.3">
      <c r="A1340" t="s">
        <v>1406</v>
      </c>
    </row>
    <row r="1341" spans="1:2" x14ac:dyDescent="0.3">
      <c r="A1341" t="s">
        <v>1407</v>
      </c>
      <c r="B1341">
        <v>6</v>
      </c>
    </row>
    <row r="1342" spans="1:2" x14ac:dyDescent="0.3">
      <c r="A1342" t="s">
        <v>1408</v>
      </c>
    </row>
    <row r="1343" spans="1:2" x14ac:dyDescent="0.3">
      <c r="A1343" t="s">
        <v>1409</v>
      </c>
    </row>
    <row r="1344" spans="1:2" x14ac:dyDescent="0.3">
      <c r="A1344" t="s">
        <v>1410</v>
      </c>
      <c r="B1344">
        <v>22.38</v>
      </c>
    </row>
    <row r="1345" spans="1:2" x14ac:dyDescent="0.3">
      <c r="A1345" t="s">
        <v>1411</v>
      </c>
    </row>
    <row r="1346" spans="1:2" x14ac:dyDescent="0.3">
      <c r="A1346" t="s">
        <v>1412</v>
      </c>
      <c r="B1346">
        <v>14.42</v>
      </c>
    </row>
    <row r="1347" spans="1:2" x14ac:dyDescent="0.3">
      <c r="A1347" t="s">
        <v>1413</v>
      </c>
    </row>
    <row r="1348" spans="1:2" x14ac:dyDescent="0.3">
      <c r="A1348" t="s">
        <v>1414</v>
      </c>
      <c r="B1348">
        <v>12.5</v>
      </c>
    </row>
    <row r="1349" spans="1:2" x14ac:dyDescent="0.3">
      <c r="A1349" t="s">
        <v>1415</v>
      </c>
    </row>
    <row r="1350" spans="1:2" x14ac:dyDescent="0.3">
      <c r="A1350" t="s">
        <v>1416</v>
      </c>
      <c r="B1350">
        <v>3.8</v>
      </c>
    </row>
    <row r="1351" spans="1:2" x14ac:dyDescent="0.3">
      <c r="A1351" t="s">
        <v>1417</v>
      </c>
    </row>
    <row r="1352" spans="1:2" x14ac:dyDescent="0.3">
      <c r="A1352" t="s">
        <v>1418</v>
      </c>
      <c r="B1352">
        <v>1.1499999999999999</v>
      </c>
    </row>
    <row r="1353" spans="1:2" x14ac:dyDescent="0.3">
      <c r="A1353" t="s">
        <v>1419</v>
      </c>
    </row>
    <row r="1354" spans="1:2" x14ac:dyDescent="0.3">
      <c r="A1354" t="s">
        <v>1420</v>
      </c>
    </row>
    <row r="1355" spans="1:2" x14ac:dyDescent="0.3">
      <c r="A1355" t="s">
        <v>1421</v>
      </c>
      <c r="B1355">
        <v>86.94</v>
      </c>
    </row>
    <row r="1356" spans="1:2" x14ac:dyDescent="0.3">
      <c r="A1356" t="s">
        <v>1422</v>
      </c>
      <c r="B1356">
        <v>3.44</v>
      </c>
    </row>
    <row r="1357" spans="1:2" x14ac:dyDescent="0.3">
      <c r="A1357" t="s">
        <v>1423</v>
      </c>
    </row>
    <row r="1358" spans="1:2" x14ac:dyDescent="0.3">
      <c r="A1358" t="s">
        <v>1424</v>
      </c>
      <c r="B1358">
        <v>2323</v>
      </c>
    </row>
    <row r="1359" spans="1:2" x14ac:dyDescent="0.3">
      <c r="A1359" t="s">
        <v>1425</v>
      </c>
    </row>
    <row r="1360" spans="1:2" x14ac:dyDescent="0.3">
      <c r="A1360" t="s">
        <v>1426</v>
      </c>
    </row>
    <row r="1361" spans="1:2" x14ac:dyDescent="0.3">
      <c r="A1361" t="s">
        <v>1427</v>
      </c>
    </row>
    <row r="1362" spans="1:2" x14ac:dyDescent="0.3">
      <c r="A1362" t="s">
        <v>1428</v>
      </c>
    </row>
    <row r="1363" spans="1:2" x14ac:dyDescent="0.3">
      <c r="A1363" t="s">
        <v>1429</v>
      </c>
      <c r="B1363">
        <v>28.89</v>
      </c>
    </row>
    <row r="1364" spans="1:2" x14ac:dyDescent="0.3">
      <c r="A1364" t="s">
        <v>1430</v>
      </c>
      <c r="B1364">
        <v>24.53</v>
      </c>
    </row>
    <row r="1365" spans="1:2" x14ac:dyDescent="0.3">
      <c r="A1365" t="s">
        <v>1431</v>
      </c>
    </row>
    <row r="1366" spans="1:2" x14ac:dyDescent="0.3">
      <c r="A1366" t="s">
        <v>1432</v>
      </c>
      <c r="B1366">
        <v>35</v>
      </c>
    </row>
    <row r="1367" spans="1:2" x14ac:dyDescent="0.3">
      <c r="A1367" t="s">
        <v>1433</v>
      </c>
    </row>
    <row r="1368" spans="1:2" x14ac:dyDescent="0.3">
      <c r="A1368" t="s">
        <v>1434</v>
      </c>
    </row>
    <row r="1369" spans="1:2" x14ac:dyDescent="0.3">
      <c r="A1369" t="s">
        <v>1435</v>
      </c>
      <c r="B1369">
        <v>10.5</v>
      </c>
    </row>
    <row r="1370" spans="1:2" x14ac:dyDescent="0.3">
      <c r="A1370" t="s">
        <v>1436</v>
      </c>
    </row>
    <row r="1371" spans="1:2" x14ac:dyDescent="0.3">
      <c r="A1371" t="s">
        <v>1437</v>
      </c>
    </row>
    <row r="1372" spans="1:2" x14ac:dyDescent="0.3">
      <c r="A1372" t="s">
        <v>1438</v>
      </c>
      <c r="B1372">
        <v>36.799999999999997</v>
      </c>
    </row>
    <row r="1373" spans="1:2" x14ac:dyDescent="0.3">
      <c r="A1373" t="s">
        <v>1439</v>
      </c>
      <c r="B1373">
        <v>2426</v>
      </c>
    </row>
    <row r="1374" spans="1:2" x14ac:dyDescent="0.3">
      <c r="A1374" t="s">
        <v>1440</v>
      </c>
    </row>
    <row r="1375" spans="1:2" x14ac:dyDescent="0.3">
      <c r="A1375" t="s">
        <v>1441</v>
      </c>
    </row>
    <row r="1376" spans="1:2" x14ac:dyDescent="0.3">
      <c r="A1376" t="s">
        <v>1442</v>
      </c>
      <c r="B1376">
        <v>5.3</v>
      </c>
    </row>
    <row r="1377" spans="1:2" x14ac:dyDescent="0.3">
      <c r="A1377" t="s">
        <v>1443</v>
      </c>
    </row>
    <row r="1378" spans="1:2" x14ac:dyDescent="0.3">
      <c r="A1378" t="s">
        <v>1444</v>
      </c>
      <c r="B1378">
        <v>5525</v>
      </c>
    </row>
    <row r="1379" spans="1:2" x14ac:dyDescent="0.3">
      <c r="A1379" t="s">
        <v>1445</v>
      </c>
    </row>
    <row r="1380" spans="1:2" x14ac:dyDescent="0.3">
      <c r="A1380" t="s">
        <v>1446</v>
      </c>
      <c r="B1380">
        <v>14.52</v>
      </c>
    </row>
    <row r="1381" spans="1:2" x14ac:dyDescent="0.3">
      <c r="A1381" t="s">
        <v>1447</v>
      </c>
      <c r="B1381">
        <v>24.46</v>
      </c>
    </row>
    <row r="1382" spans="1:2" x14ac:dyDescent="0.3">
      <c r="A1382" t="s">
        <v>1448</v>
      </c>
    </row>
    <row r="1383" spans="1:2" x14ac:dyDescent="0.3">
      <c r="A1383" t="s">
        <v>1449</v>
      </c>
      <c r="B1383">
        <v>9550</v>
      </c>
    </row>
    <row r="1384" spans="1:2" x14ac:dyDescent="0.3">
      <c r="A1384" t="s">
        <v>1450</v>
      </c>
      <c r="B1384">
        <v>54.94</v>
      </c>
    </row>
    <row r="1385" spans="1:2" x14ac:dyDescent="0.3">
      <c r="A1385" t="s">
        <v>1451</v>
      </c>
      <c r="B1385">
        <v>22.95</v>
      </c>
    </row>
    <row r="1386" spans="1:2" x14ac:dyDescent="0.3">
      <c r="A1386" t="s">
        <v>1452</v>
      </c>
    </row>
    <row r="1387" spans="1:2" x14ac:dyDescent="0.3">
      <c r="A1387" t="s">
        <v>1453</v>
      </c>
      <c r="B1387">
        <v>18.7</v>
      </c>
    </row>
    <row r="1388" spans="1:2" x14ac:dyDescent="0.3">
      <c r="A1388" t="s">
        <v>1454</v>
      </c>
    </row>
    <row r="1389" spans="1:2" x14ac:dyDescent="0.3">
      <c r="A1389" t="s">
        <v>1455</v>
      </c>
      <c r="B1389">
        <v>34.33</v>
      </c>
    </row>
    <row r="1390" spans="1:2" x14ac:dyDescent="0.3">
      <c r="A1390" t="s">
        <v>1456</v>
      </c>
    </row>
    <row r="1391" spans="1:2" x14ac:dyDescent="0.3">
      <c r="A1391" t="s">
        <v>1457</v>
      </c>
    </row>
    <row r="1392" spans="1:2" x14ac:dyDescent="0.3">
      <c r="A1392" t="s">
        <v>1458</v>
      </c>
      <c r="B1392">
        <v>58.57</v>
      </c>
    </row>
    <row r="1393" spans="1:2" x14ac:dyDescent="0.3">
      <c r="A1393" t="s">
        <v>1459</v>
      </c>
      <c r="B1393">
        <v>35</v>
      </c>
    </row>
    <row r="1394" spans="1:2" x14ac:dyDescent="0.3">
      <c r="A1394" t="s">
        <v>1460</v>
      </c>
      <c r="B1394">
        <v>18.190000000000001</v>
      </c>
    </row>
    <row r="1395" spans="1:2" x14ac:dyDescent="0.3">
      <c r="A1395" t="s">
        <v>1461</v>
      </c>
    </row>
    <row r="1396" spans="1:2" x14ac:dyDescent="0.3">
      <c r="A1396" t="s">
        <v>1462</v>
      </c>
    </row>
    <row r="1397" spans="1:2" x14ac:dyDescent="0.3">
      <c r="A1397" t="s">
        <v>1463</v>
      </c>
      <c r="B1397">
        <v>4.5</v>
      </c>
    </row>
    <row r="1398" spans="1:2" x14ac:dyDescent="0.3">
      <c r="A1398" t="s">
        <v>1464</v>
      </c>
      <c r="B1398">
        <v>5.15</v>
      </c>
    </row>
    <row r="1399" spans="1:2" x14ac:dyDescent="0.3">
      <c r="A1399" t="s">
        <v>1465</v>
      </c>
      <c r="B1399">
        <v>39.67</v>
      </c>
    </row>
    <row r="1400" spans="1:2" x14ac:dyDescent="0.3">
      <c r="A1400" t="s">
        <v>1466</v>
      </c>
    </row>
    <row r="1401" spans="1:2" x14ac:dyDescent="0.3">
      <c r="A1401" t="s">
        <v>1467</v>
      </c>
    </row>
    <row r="1402" spans="1:2" x14ac:dyDescent="0.3">
      <c r="A1402" t="s">
        <v>1468</v>
      </c>
    </row>
    <row r="1403" spans="1:2" x14ac:dyDescent="0.3">
      <c r="A1403" t="s">
        <v>1469</v>
      </c>
    </row>
    <row r="1404" spans="1:2" x14ac:dyDescent="0.3">
      <c r="A1404" t="s">
        <v>1470</v>
      </c>
      <c r="B1404">
        <v>15.77</v>
      </c>
    </row>
    <row r="1405" spans="1:2" x14ac:dyDescent="0.3">
      <c r="A1405" t="s">
        <v>1471</v>
      </c>
      <c r="B1405">
        <v>0</v>
      </c>
    </row>
    <row r="1406" spans="1:2" x14ac:dyDescent="0.3">
      <c r="A1406" t="s">
        <v>1472</v>
      </c>
    </row>
    <row r="1407" spans="1:2" x14ac:dyDescent="0.3">
      <c r="A1407" t="s">
        <v>1473</v>
      </c>
    </row>
    <row r="1408" spans="1:2" x14ac:dyDescent="0.3">
      <c r="A1408" t="s">
        <v>1474</v>
      </c>
      <c r="B1408">
        <v>42.81</v>
      </c>
    </row>
    <row r="1409" spans="1:2" x14ac:dyDescent="0.3">
      <c r="A1409" t="s">
        <v>1475</v>
      </c>
    </row>
    <row r="1410" spans="1:2" x14ac:dyDescent="0.3">
      <c r="A1410" t="s">
        <v>1476</v>
      </c>
    </row>
    <row r="1411" spans="1:2" x14ac:dyDescent="0.3">
      <c r="A1411" t="s">
        <v>1477</v>
      </c>
    </row>
    <row r="1412" spans="1:2" x14ac:dyDescent="0.3">
      <c r="A1412" t="s">
        <v>1478</v>
      </c>
      <c r="B1412">
        <v>28.07</v>
      </c>
    </row>
    <row r="1413" spans="1:2" x14ac:dyDescent="0.3">
      <c r="A1413" t="s">
        <v>1479</v>
      </c>
    </row>
    <row r="1414" spans="1:2" x14ac:dyDescent="0.3">
      <c r="A1414" t="s">
        <v>1480</v>
      </c>
    </row>
    <row r="1415" spans="1:2" x14ac:dyDescent="0.3">
      <c r="A1415" t="s">
        <v>1481</v>
      </c>
    </row>
    <row r="1416" spans="1:2" x14ac:dyDescent="0.3">
      <c r="A1416" t="s">
        <v>1482</v>
      </c>
      <c r="B1416">
        <v>100</v>
      </c>
    </row>
    <row r="1417" spans="1:2" x14ac:dyDescent="0.3">
      <c r="A1417" t="s">
        <v>1483</v>
      </c>
    </row>
    <row r="1418" spans="1:2" x14ac:dyDescent="0.3">
      <c r="A1418" t="s">
        <v>1484</v>
      </c>
    </row>
    <row r="1419" spans="1:2" x14ac:dyDescent="0.3">
      <c r="A1419" t="s">
        <v>1485</v>
      </c>
    </row>
    <row r="1420" spans="1:2" x14ac:dyDescent="0.3">
      <c r="A1420" t="s">
        <v>1486</v>
      </c>
    </row>
    <row r="1421" spans="1:2" x14ac:dyDescent="0.3">
      <c r="A1421" t="s">
        <v>1487</v>
      </c>
    </row>
    <row r="1422" spans="1:2" x14ac:dyDescent="0.3">
      <c r="A1422" t="s">
        <v>1488</v>
      </c>
      <c r="B1422">
        <v>2.98</v>
      </c>
    </row>
    <row r="1423" spans="1:2" x14ac:dyDescent="0.3">
      <c r="A1423" t="s">
        <v>1489</v>
      </c>
      <c r="B1423">
        <v>11680</v>
      </c>
    </row>
    <row r="1424" spans="1:2" x14ac:dyDescent="0.3">
      <c r="A1424" t="s">
        <v>1490</v>
      </c>
    </row>
    <row r="1425" spans="1:2" x14ac:dyDescent="0.3">
      <c r="A1425" t="s">
        <v>1491</v>
      </c>
      <c r="B1425">
        <v>10.41</v>
      </c>
    </row>
    <row r="1426" spans="1:2" x14ac:dyDescent="0.3">
      <c r="A1426" t="s">
        <v>1492</v>
      </c>
      <c r="B1426">
        <v>2</v>
      </c>
    </row>
    <row r="1427" spans="1:2" x14ac:dyDescent="0.3">
      <c r="A1427" t="s">
        <v>1493</v>
      </c>
      <c r="B1427">
        <v>78.75</v>
      </c>
    </row>
    <row r="1428" spans="1:2" x14ac:dyDescent="0.3">
      <c r="A1428" t="s">
        <v>1494</v>
      </c>
      <c r="B1428">
        <v>19.7</v>
      </c>
    </row>
    <row r="1429" spans="1:2" x14ac:dyDescent="0.3">
      <c r="A1429" t="s">
        <v>1495</v>
      </c>
      <c r="B1429">
        <v>10.59</v>
      </c>
    </row>
    <row r="1430" spans="1:2" x14ac:dyDescent="0.3">
      <c r="A1430" t="s">
        <v>1496</v>
      </c>
    </row>
    <row r="1431" spans="1:2" x14ac:dyDescent="0.3">
      <c r="A1431" t="s">
        <v>1497</v>
      </c>
      <c r="B1431">
        <v>24.95</v>
      </c>
    </row>
    <row r="1432" spans="1:2" x14ac:dyDescent="0.3">
      <c r="A1432" t="s">
        <v>1498</v>
      </c>
    </row>
    <row r="1433" spans="1:2" x14ac:dyDescent="0.3">
      <c r="A1433" t="s">
        <v>1499</v>
      </c>
      <c r="B1433">
        <v>20.11</v>
      </c>
    </row>
    <row r="1434" spans="1:2" x14ac:dyDescent="0.3">
      <c r="A1434" t="s">
        <v>1500</v>
      </c>
      <c r="B1434">
        <v>43.21</v>
      </c>
    </row>
    <row r="1435" spans="1:2" x14ac:dyDescent="0.3">
      <c r="A1435" t="s">
        <v>1501</v>
      </c>
    </row>
    <row r="1436" spans="1:2" x14ac:dyDescent="0.3">
      <c r="A1436" t="s">
        <v>1502</v>
      </c>
      <c r="B1436">
        <v>88.01</v>
      </c>
    </row>
    <row r="1437" spans="1:2" x14ac:dyDescent="0.3">
      <c r="A1437" t="s">
        <v>1503</v>
      </c>
    </row>
    <row r="1438" spans="1:2" x14ac:dyDescent="0.3">
      <c r="A1438" t="s">
        <v>1504</v>
      </c>
      <c r="B1438">
        <v>15.06</v>
      </c>
    </row>
    <row r="1439" spans="1:2" x14ac:dyDescent="0.3">
      <c r="A1439" t="s">
        <v>1505</v>
      </c>
    </row>
    <row r="1440" spans="1:2" x14ac:dyDescent="0.3">
      <c r="A1440" t="s">
        <v>1506</v>
      </c>
    </row>
    <row r="1441" spans="1:2" x14ac:dyDescent="0.3">
      <c r="A1441" t="s">
        <v>1507</v>
      </c>
    </row>
    <row r="1442" spans="1:2" x14ac:dyDescent="0.3">
      <c r="A1442" t="s">
        <v>1508</v>
      </c>
    </row>
    <row r="1443" spans="1:2" x14ac:dyDescent="0.3">
      <c r="A1443" t="s">
        <v>1509</v>
      </c>
    </row>
    <row r="1444" spans="1:2" x14ac:dyDescent="0.3">
      <c r="A1444" t="s">
        <v>1510</v>
      </c>
    </row>
    <row r="1445" spans="1:2" x14ac:dyDescent="0.3">
      <c r="A1445" t="s">
        <v>1511</v>
      </c>
    </row>
    <row r="1446" spans="1:2" x14ac:dyDescent="0.3">
      <c r="A1446" t="s">
        <v>1512</v>
      </c>
    </row>
    <row r="1447" spans="1:2" x14ac:dyDescent="0.3">
      <c r="A1447" t="s">
        <v>1513</v>
      </c>
    </row>
    <row r="1448" spans="1:2" x14ac:dyDescent="0.3">
      <c r="A1448" t="s">
        <v>1514</v>
      </c>
    </row>
    <row r="1449" spans="1:2" x14ac:dyDescent="0.3">
      <c r="A1449" t="s">
        <v>1515</v>
      </c>
    </row>
    <row r="1450" spans="1:2" x14ac:dyDescent="0.3">
      <c r="A1450" t="s">
        <v>1516</v>
      </c>
    </row>
    <row r="1451" spans="1:2" x14ac:dyDescent="0.3">
      <c r="A1451" t="s">
        <v>1517</v>
      </c>
      <c r="B1451">
        <v>8.49</v>
      </c>
    </row>
    <row r="1452" spans="1:2" x14ac:dyDescent="0.3">
      <c r="A1452" t="s">
        <v>1518</v>
      </c>
    </row>
    <row r="1453" spans="1:2" x14ac:dyDescent="0.3">
      <c r="A1453" t="s">
        <v>1519</v>
      </c>
    </row>
    <row r="1454" spans="1:2" x14ac:dyDescent="0.3">
      <c r="A1454" t="s">
        <v>1520</v>
      </c>
      <c r="B1454">
        <v>24</v>
      </c>
    </row>
    <row r="1455" spans="1:2" x14ac:dyDescent="0.3">
      <c r="A1455" t="s">
        <v>1521</v>
      </c>
    </row>
    <row r="1456" spans="1:2" x14ac:dyDescent="0.3">
      <c r="A1456" t="s">
        <v>1522</v>
      </c>
    </row>
    <row r="1457" spans="1:2" x14ac:dyDescent="0.3">
      <c r="A1457" t="s">
        <v>1523</v>
      </c>
    </row>
    <row r="1458" spans="1:2" x14ac:dyDescent="0.3">
      <c r="A1458" t="s">
        <v>1524</v>
      </c>
    </row>
    <row r="1459" spans="1:2" x14ac:dyDescent="0.3">
      <c r="A1459" t="s">
        <v>1525</v>
      </c>
      <c r="B1459">
        <v>31.5</v>
      </c>
    </row>
    <row r="1460" spans="1:2" x14ac:dyDescent="0.3">
      <c r="A1460" t="s">
        <v>1526</v>
      </c>
    </row>
    <row r="1461" spans="1:2" x14ac:dyDescent="0.3">
      <c r="A1461" t="s">
        <v>1527</v>
      </c>
    </row>
    <row r="1462" spans="1:2" x14ac:dyDescent="0.3">
      <c r="A1462" t="s">
        <v>1528</v>
      </c>
    </row>
    <row r="1463" spans="1:2" x14ac:dyDescent="0.3">
      <c r="A1463" t="s">
        <v>1529</v>
      </c>
    </row>
    <row r="1464" spans="1:2" x14ac:dyDescent="0.3">
      <c r="A1464" t="s">
        <v>1530</v>
      </c>
    </row>
    <row r="1465" spans="1:2" x14ac:dyDescent="0.3">
      <c r="A1465" t="s">
        <v>1531</v>
      </c>
      <c r="B1465">
        <v>1.1000000000000001</v>
      </c>
    </row>
    <row r="1466" spans="1:2" x14ac:dyDescent="0.3">
      <c r="A1466" t="s">
        <v>1532</v>
      </c>
    </row>
    <row r="1467" spans="1:2" x14ac:dyDescent="0.3">
      <c r="A1467" t="s">
        <v>1533</v>
      </c>
    </row>
    <row r="1468" spans="1:2" x14ac:dyDescent="0.3">
      <c r="A1468" t="s">
        <v>1534</v>
      </c>
      <c r="B1468">
        <v>7.99</v>
      </c>
    </row>
    <row r="1469" spans="1:2" x14ac:dyDescent="0.3">
      <c r="A1469" t="s">
        <v>1535</v>
      </c>
      <c r="B1469">
        <v>96</v>
      </c>
    </row>
    <row r="1470" spans="1:2" x14ac:dyDescent="0.3">
      <c r="A1470" t="s">
        <v>1536</v>
      </c>
      <c r="B1470">
        <v>7.26</v>
      </c>
    </row>
    <row r="1471" spans="1:2" x14ac:dyDescent="0.3">
      <c r="A1471" t="s">
        <v>1537</v>
      </c>
    </row>
    <row r="1472" spans="1:2" x14ac:dyDescent="0.3">
      <c r="A1472" t="s">
        <v>1538</v>
      </c>
    </row>
    <row r="1473" spans="1:2" x14ac:dyDescent="0.3">
      <c r="A1473" t="s">
        <v>1539</v>
      </c>
      <c r="B1473">
        <v>15.64</v>
      </c>
    </row>
    <row r="1474" spans="1:2" x14ac:dyDescent="0.3">
      <c r="A1474" t="s">
        <v>1540</v>
      </c>
      <c r="B1474">
        <v>96.49</v>
      </c>
    </row>
    <row r="1475" spans="1:2" x14ac:dyDescent="0.3">
      <c r="A1475" t="s">
        <v>1541</v>
      </c>
    </row>
    <row r="1476" spans="1:2" x14ac:dyDescent="0.3">
      <c r="A1476" t="s">
        <v>1542</v>
      </c>
      <c r="B1476">
        <v>6980</v>
      </c>
    </row>
    <row r="1477" spans="1:2" x14ac:dyDescent="0.3">
      <c r="A1477" t="s">
        <v>1543</v>
      </c>
    </row>
    <row r="1478" spans="1:2" x14ac:dyDescent="0.3">
      <c r="A1478" t="s">
        <v>1544</v>
      </c>
    </row>
    <row r="1479" spans="1:2" x14ac:dyDescent="0.3">
      <c r="A1479" t="s">
        <v>1545</v>
      </c>
    </row>
    <row r="1480" spans="1:2" x14ac:dyDescent="0.3">
      <c r="A1480" t="s">
        <v>1546</v>
      </c>
    </row>
    <row r="1481" spans="1:2" x14ac:dyDescent="0.3">
      <c r="A1481" t="s">
        <v>1547</v>
      </c>
    </row>
    <row r="1482" spans="1:2" x14ac:dyDescent="0.3">
      <c r="A1482" t="s">
        <v>1548</v>
      </c>
    </row>
    <row r="1483" spans="1:2" x14ac:dyDescent="0.3">
      <c r="A1483" t="s">
        <v>1549</v>
      </c>
    </row>
    <row r="1484" spans="1:2" x14ac:dyDescent="0.3">
      <c r="A1484" t="s">
        <v>1550</v>
      </c>
    </row>
    <row r="1485" spans="1:2" x14ac:dyDescent="0.3">
      <c r="A1485" t="s">
        <v>1551</v>
      </c>
    </row>
    <row r="1486" spans="1:2" x14ac:dyDescent="0.3">
      <c r="A1486" t="s">
        <v>1552</v>
      </c>
    </row>
    <row r="1487" spans="1:2" x14ac:dyDescent="0.3">
      <c r="A1487" t="s">
        <v>1553</v>
      </c>
    </row>
    <row r="1488" spans="1:2" x14ac:dyDescent="0.3">
      <c r="A1488" t="s">
        <v>1554</v>
      </c>
    </row>
    <row r="1489" spans="1:2" x14ac:dyDescent="0.3">
      <c r="A1489" t="s">
        <v>1555</v>
      </c>
    </row>
    <row r="1490" spans="1:2" x14ac:dyDescent="0.3">
      <c r="A1490" t="s">
        <v>1556</v>
      </c>
      <c r="B1490">
        <v>11.28</v>
      </c>
    </row>
    <row r="1491" spans="1:2" x14ac:dyDescent="0.3">
      <c r="A1491" t="s">
        <v>1557</v>
      </c>
    </row>
    <row r="1492" spans="1:2" x14ac:dyDescent="0.3">
      <c r="A1492" t="s">
        <v>1558</v>
      </c>
    </row>
    <row r="1493" spans="1:2" x14ac:dyDescent="0.3">
      <c r="A1493" t="s">
        <v>1559</v>
      </c>
    </row>
    <row r="1494" spans="1:2" x14ac:dyDescent="0.3">
      <c r="A1494" t="s">
        <v>1560</v>
      </c>
    </row>
    <row r="1495" spans="1:2" x14ac:dyDescent="0.3">
      <c r="A1495" t="s">
        <v>1561</v>
      </c>
      <c r="B1495">
        <v>3.88</v>
      </c>
    </row>
    <row r="1496" spans="1:2" x14ac:dyDescent="0.3">
      <c r="A1496" t="s">
        <v>1562</v>
      </c>
    </row>
    <row r="1497" spans="1:2" x14ac:dyDescent="0.3">
      <c r="A1497" t="s">
        <v>1563</v>
      </c>
      <c r="B1497">
        <v>14.99</v>
      </c>
    </row>
    <row r="1498" spans="1:2" x14ac:dyDescent="0.3">
      <c r="A1498" t="s">
        <v>1564</v>
      </c>
    </row>
    <row r="1499" spans="1:2" x14ac:dyDescent="0.3">
      <c r="A1499" t="s">
        <v>1565</v>
      </c>
    </row>
    <row r="1500" spans="1:2" x14ac:dyDescent="0.3">
      <c r="A1500" t="s">
        <v>1566</v>
      </c>
      <c r="B1500">
        <v>2.68</v>
      </c>
    </row>
    <row r="1501" spans="1:2" x14ac:dyDescent="0.3">
      <c r="A1501" t="s">
        <v>1567</v>
      </c>
    </row>
    <row r="1502" spans="1:2" x14ac:dyDescent="0.3">
      <c r="A1502" t="s">
        <v>1568</v>
      </c>
    </row>
    <row r="1503" spans="1:2" x14ac:dyDescent="0.3">
      <c r="A1503" t="s">
        <v>1569</v>
      </c>
    </row>
    <row r="1504" spans="1:2" x14ac:dyDescent="0.3">
      <c r="A1504" t="s">
        <v>1570</v>
      </c>
    </row>
    <row r="1505" spans="1:2" x14ac:dyDescent="0.3">
      <c r="A1505" t="s">
        <v>1571</v>
      </c>
      <c r="B1505">
        <v>12.52</v>
      </c>
    </row>
    <row r="1506" spans="1:2" x14ac:dyDescent="0.3">
      <c r="A1506" t="s">
        <v>1572</v>
      </c>
    </row>
    <row r="1507" spans="1:2" x14ac:dyDescent="0.3">
      <c r="A1507" t="s">
        <v>1573</v>
      </c>
    </row>
    <row r="1508" spans="1:2" x14ac:dyDescent="0.3">
      <c r="A1508" t="s">
        <v>1574</v>
      </c>
      <c r="B1508">
        <v>54.94</v>
      </c>
    </row>
    <row r="1509" spans="1:2" x14ac:dyDescent="0.3">
      <c r="A1509" t="s">
        <v>1575</v>
      </c>
    </row>
    <row r="1510" spans="1:2" x14ac:dyDescent="0.3">
      <c r="A1510" t="s">
        <v>1576</v>
      </c>
    </row>
    <row r="1511" spans="1:2" x14ac:dyDescent="0.3">
      <c r="A1511" t="s">
        <v>1577</v>
      </c>
      <c r="B1511">
        <v>209.99</v>
      </c>
    </row>
    <row r="1512" spans="1:2" x14ac:dyDescent="0.3">
      <c r="A1512" t="s">
        <v>1578</v>
      </c>
    </row>
    <row r="1513" spans="1:2" x14ac:dyDescent="0.3">
      <c r="A1513" t="s">
        <v>1579</v>
      </c>
      <c r="B1513">
        <v>7.75</v>
      </c>
    </row>
    <row r="1514" spans="1:2" x14ac:dyDescent="0.3">
      <c r="A1514" t="s">
        <v>1580</v>
      </c>
    </row>
    <row r="1515" spans="1:2" x14ac:dyDescent="0.3">
      <c r="A1515" t="s">
        <v>1581</v>
      </c>
    </row>
    <row r="1516" spans="1:2" x14ac:dyDescent="0.3">
      <c r="A1516" t="s">
        <v>1582</v>
      </c>
    </row>
    <row r="1517" spans="1:2" x14ac:dyDescent="0.3">
      <c r="A1517" t="s">
        <v>1583</v>
      </c>
    </row>
    <row r="1518" spans="1:2" x14ac:dyDescent="0.3">
      <c r="A1518" t="s">
        <v>1584</v>
      </c>
    </row>
    <row r="1519" spans="1:2" x14ac:dyDescent="0.3">
      <c r="A1519" t="s">
        <v>1585</v>
      </c>
    </row>
    <row r="1520" spans="1:2" x14ac:dyDescent="0.3">
      <c r="A1520" t="s">
        <v>1586</v>
      </c>
    </row>
    <row r="1521" spans="1:2" x14ac:dyDescent="0.3">
      <c r="A1521" t="s">
        <v>1587</v>
      </c>
    </row>
    <row r="1522" spans="1:2" x14ac:dyDescent="0.3">
      <c r="A1522" t="s">
        <v>1588</v>
      </c>
    </row>
    <row r="1523" spans="1:2" x14ac:dyDescent="0.3">
      <c r="A1523" t="s">
        <v>1589</v>
      </c>
      <c r="B1523">
        <v>4.6500000000000004</v>
      </c>
    </row>
    <row r="1524" spans="1:2" x14ac:dyDescent="0.3">
      <c r="A1524" t="s">
        <v>1590</v>
      </c>
    </row>
    <row r="1525" spans="1:2" x14ac:dyDescent="0.3">
      <c r="A1525" t="s">
        <v>1591</v>
      </c>
    </row>
    <row r="1526" spans="1:2" x14ac:dyDescent="0.3">
      <c r="A1526" t="s">
        <v>1592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F6D3D-2A32-412B-8AEF-825D6FE58774}">
  <dimension ref="A1:Z312"/>
  <sheetViews>
    <sheetView tabSelected="1" workbookViewId="0">
      <selection activeCell="A3" sqref="A3"/>
    </sheetView>
  </sheetViews>
  <sheetFormatPr defaultRowHeight="14.4" x14ac:dyDescent="0.3"/>
  <cols>
    <col min="1" max="1" width="8.21875" bestFit="1" customWidth="1"/>
    <col min="2" max="2" width="10.33203125" style="5" bestFit="1" customWidth="1"/>
    <col min="3" max="3" width="8.6640625" bestFit="1" customWidth="1"/>
    <col min="4" max="4" width="7.109375" bestFit="1" customWidth="1"/>
    <col min="5" max="5" width="8" bestFit="1" customWidth="1"/>
    <col min="6" max="6" width="10.21875" bestFit="1" customWidth="1"/>
    <col min="7" max="7" width="9.21875" bestFit="1" customWidth="1"/>
    <col min="8" max="8" width="12.109375" bestFit="1" customWidth="1"/>
    <col min="9" max="9" width="8.6640625" bestFit="1" customWidth="1"/>
    <col min="10" max="10" width="14.5546875" bestFit="1" customWidth="1"/>
    <col min="11" max="11" width="9.77734375" bestFit="1" customWidth="1"/>
    <col min="12" max="12" width="12.109375" bestFit="1" customWidth="1"/>
    <col min="13" max="13" width="10.5546875" bestFit="1" customWidth="1"/>
    <col min="14" max="14" width="10.33203125" bestFit="1" customWidth="1"/>
    <col min="15" max="15" width="10.6640625" bestFit="1" customWidth="1"/>
    <col min="16" max="17" width="7.88671875" bestFit="1" customWidth="1"/>
    <col min="18" max="18" width="15.21875" bestFit="1" customWidth="1"/>
    <col min="19" max="19" width="17.33203125" bestFit="1" customWidth="1"/>
    <col min="20" max="20" width="17" bestFit="1" customWidth="1"/>
    <col min="21" max="21" width="14.21875" bestFit="1" customWidth="1"/>
    <col min="22" max="22" width="23.44140625" style="21" bestFit="1" customWidth="1"/>
    <col min="23" max="23" width="24.33203125" style="5" bestFit="1" customWidth="1"/>
    <col min="24" max="24" width="14" bestFit="1" customWidth="1"/>
    <col min="25" max="25" width="14.109375" style="5" bestFit="1" customWidth="1"/>
    <col min="26" max="26" width="19" style="5" bestFit="1" customWidth="1"/>
  </cols>
  <sheetData>
    <row r="1" spans="1:26" x14ac:dyDescent="0.3">
      <c r="A1" t="s">
        <v>0</v>
      </c>
      <c r="B1" s="5" t="s">
        <v>2</v>
      </c>
      <c r="C1" t="s">
        <v>583</v>
      </c>
      <c r="D1" t="s">
        <v>5</v>
      </c>
      <c r="E1" t="s">
        <v>584</v>
      </c>
      <c r="F1" t="s">
        <v>585</v>
      </c>
      <c r="G1" t="s">
        <v>586</v>
      </c>
      <c r="H1" t="s">
        <v>587</v>
      </c>
      <c r="I1" t="s">
        <v>588</v>
      </c>
      <c r="J1" t="s">
        <v>589</v>
      </c>
      <c r="K1" t="s">
        <v>590</v>
      </c>
      <c r="L1" t="s">
        <v>591</v>
      </c>
      <c r="M1" t="s">
        <v>592</v>
      </c>
      <c r="N1" t="s">
        <v>593</v>
      </c>
      <c r="O1" t="s">
        <v>594</v>
      </c>
      <c r="P1" t="s">
        <v>595</v>
      </c>
      <c r="Q1" t="s">
        <v>596</v>
      </c>
      <c r="R1" t="s">
        <v>597</v>
      </c>
      <c r="S1" t="s">
        <v>598</v>
      </c>
      <c r="T1" t="s">
        <v>599</v>
      </c>
      <c r="U1" t="s">
        <v>600</v>
      </c>
      <c r="V1" s="20" t="s">
        <v>554</v>
      </c>
      <c r="W1" s="8" t="s">
        <v>555</v>
      </c>
      <c r="X1" s="9" t="s">
        <v>1616</v>
      </c>
      <c r="Y1" s="8" t="s">
        <v>557</v>
      </c>
      <c r="Z1" s="8" t="s">
        <v>558</v>
      </c>
    </row>
    <row r="2" spans="1:26" x14ac:dyDescent="0.3">
      <c r="A2" t="s">
        <v>1566</v>
      </c>
      <c r="B2" s="5">
        <f>VLOOKUP(A2,Dim!A:B,2)</f>
        <v>29.49</v>
      </c>
      <c r="C2">
        <v>88.55</v>
      </c>
      <c r="D2">
        <v>0.57999999999999996</v>
      </c>
      <c r="E2">
        <v>0.505</v>
      </c>
      <c r="F2" s="1">
        <v>2.0999999999999999E-3</v>
      </c>
      <c r="G2">
        <v>0.2</v>
      </c>
      <c r="H2">
        <v>-2.4500000000000002</v>
      </c>
      <c r="I2">
        <v>1.39</v>
      </c>
      <c r="J2">
        <v>-0.6</v>
      </c>
      <c r="K2">
        <v>3.12</v>
      </c>
      <c r="L2">
        <v>1.92</v>
      </c>
      <c r="M2" s="1">
        <v>0.36270000000000002</v>
      </c>
      <c r="N2" s="1">
        <v>1.11E-2</v>
      </c>
      <c r="O2">
        <v>0.79</v>
      </c>
      <c r="P2" s="1">
        <v>0.19650000000000001</v>
      </c>
      <c r="Q2" s="1">
        <v>6.4999999999999997E-3</v>
      </c>
      <c r="R2" s="3">
        <v>5341390</v>
      </c>
      <c r="S2" s="3">
        <v>1312980000</v>
      </c>
      <c r="T2">
        <v>1.05</v>
      </c>
      <c r="U2" s="1">
        <v>-8.2000000000000003E-2</v>
      </c>
      <c r="V2" s="4">
        <f t="shared" ref="V2:V65" si="0">F2/12</f>
        <v>1.75E-4</v>
      </c>
      <c r="W2" s="5">
        <f t="shared" ref="W2:W65" si="1">V2*B2</f>
        <v>5.1607499999999995E-3</v>
      </c>
      <c r="X2">
        <f t="shared" ref="X2:X65" si="2">ROUNDUP((B2/W2),0)+1</f>
        <v>5716</v>
      </c>
      <c r="Y2" s="5">
        <f t="shared" ref="Y2:Y65" si="3">X2*B2</f>
        <v>168564.84</v>
      </c>
      <c r="Z2" s="5">
        <f t="shared" ref="Z2:Z65" si="4">X2*W2</f>
        <v>29.498846999999998</v>
      </c>
    </row>
    <row r="3" spans="1:26" x14ac:dyDescent="0.3">
      <c r="A3" t="s">
        <v>1489</v>
      </c>
      <c r="B3" s="5">
        <f>VLOOKUP(A3,Dim!A:B,2)</f>
        <v>0</v>
      </c>
      <c r="C3">
        <v>27.23</v>
      </c>
      <c r="D3">
        <v>7.88</v>
      </c>
      <c r="E3">
        <v>4.2649999999999997</v>
      </c>
      <c r="F3" s="1">
        <v>1.9900000000000001E-2</v>
      </c>
      <c r="G3">
        <v>4.2539999999999996</v>
      </c>
      <c r="H3">
        <v>15.06</v>
      </c>
      <c r="I3">
        <v>19.73</v>
      </c>
      <c r="J3">
        <v>20.29</v>
      </c>
      <c r="K3">
        <v>19.34</v>
      </c>
      <c r="L3">
        <v>17.48</v>
      </c>
      <c r="M3" s="1">
        <v>0.2162</v>
      </c>
      <c r="N3" s="1">
        <v>0.16539999999999999</v>
      </c>
      <c r="O3">
        <v>1.78</v>
      </c>
      <c r="P3" s="1">
        <v>0.28489999999999999</v>
      </c>
      <c r="Q3" s="1">
        <v>0.2893</v>
      </c>
      <c r="R3" s="3">
        <v>354909000</v>
      </c>
      <c r="S3" s="3">
        <v>22408800000</v>
      </c>
      <c r="T3">
        <v>0.17</v>
      </c>
      <c r="U3" s="1">
        <v>0.16170000000000001</v>
      </c>
      <c r="V3" s="4">
        <f t="shared" si="0"/>
        <v>1.6583333333333335E-3</v>
      </c>
      <c r="W3" s="5">
        <f t="shared" si="1"/>
        <v>0</v>
      </c>
      <c r="X3" t="e">
        <f t="shared" si="2"/>
        <v>#DIV/0!</v>
      </c>
      <c r="Y3" s="5" t="e">
        <f t="shared" si="3"/>
        <v>#DIV/0!</v>
      </c>
      <c r="Z3" s="5" t="e">
        <f t="shared" si="4"/>
        <v>#DIV/0!</v>
      </c>
    </row>
    <row r="4" spans="1:26" x14ac:dyDescent="0.3">
      <c r="A4" t="s">
        <v>1460</v>
      </c>
      <c r="B4" s="5">
        <f>VLOOKUP(A4,Dim!A:B,2)</f>
        <v>0</v>
      </c>
      <c r="C4">
        <v>20.81</v>
      </c>
      <c r="D4">
        <v>5.45</v>
      </c>
      <c r="E4">
        <v>2.9889999999999999</v>
      </c>
      <c r="F4" s="1">
        <v>1.46E-2</v>
      </c>
      <c r="G4">
        <v>3.387</v>
      </c>
      <c r="H4">
        <v>7.22</v>
      </c>
      <c r="I4">
        <v>14.71</v>
      </c>
      <c r="J4">
        <v>11.05</v>
      </c>
      <c r="K4">
        <v>15.35</v>
      </c>
      <c r="L4">
        <v>14.01</v>
      </c>
      <c r="M4" s="1">
        <v>0.20319999999999999</v>
      </c>
      <c r="N4" s="1">
        <v>0.14360000000000001</v>
      </c>
      <c r="O4">
        <v>3.18</v>
      </c>
      <c r="P4" s="1">
        <v>0.26129999999999998</v>
      </c>
      <c r="Q4" s="1">
        <v>0.2621</v>
      </c>
      <c r="R4" s="3">
        <v>11216500</v>
      </c>
      <c r="S4" s="3">
        <v>510935000</v>
      </c>
      <c r="T4">
        <v>0.28999999999999998</v>
      </c>
      <c r="U4" s="1">
        <v>0.2631</v>
      </c>
      <c r="V4" s="4">
        <f t="shared" si="0"/>
        <v>1.2166666666666667E-3</v>
      </c>
      <c r="W4" s="5">
        <f t="shared" si="1"/>
        <v>0</v>
      </c>
      <c r="X4" t="e">
        <f t="shared" si="2"/>
        <v>#DIV/0!</v>
      </c>
      <c r="Y4" s="5" t="e">
        <f t="shared" si="3"/>
        <v>#DIV/0!</v>
      </c>
      <c r="Z4" s="5" t="e">
        <f t="shared" si="4"/>
        <v>#DIV/0!</v>
      </c>
    </row>
    <row r="5" spans="1:26" x14ac:dyDescent="0.3">
      <c r="A5" t="s">
        <v>1563</v>
      </c>
      <c r="B5" s="5">
        <f>VLOOKUP(A5,Dim!A:B,2)</f>
        <v>29.49</v>
      </c>
      <c r="C5">
        <v>77.39</v>
      </c>
      <c r="D5">
        <v>2.5</v>
      </c>
      <c r="E5">
        <v>0.60299999999999998</v>
      </c>
      <c r="F5" s="1">
        <v>2.8E-3</v>
      </c>
      <c r="G5">
        <v>0.59499999999999997</v>
      </c>
      <c r="H5">
        <v>2.0499999999999998</v>
      </c>
      <c r="I5">
        <v>7.56</v>
      </c>
      <c r="J5">
        <v>-3.23</v>
      </c>
      <c r="K5">
        <v>10.78</v>
      </c>
      <c r="L5">
        <v>6.88</v>
      </c>
      <c r="M5" s="1">
        <v>7.9799999999999996E-2</v>
      </c>
      <c r="N5" s="1">
        <v>2.2800000000000001E-2</v>
      </c>
      <c r="O5">
        <v>2.06</v>
      </c>
      <c r="P5" s="1">
        <v>0.1099</v>
      </c>
      <c r="Q5" s="1">
        <v>3.2300000000000002E-2</v>
      </c>
      <c r="R5" s="3">
        <v>6720770</v>
      </c>
      <c r="S5" s="3">
        <v>340311000</v>
      </c>
      <c r="T5">
        <v>2.15</v>
      </c>
      <c r="U5" s="1">
        <v>0.4289</v>
      </c>
      <c r="V5" s="4">
        <f t="shared" si="0"/>
        <v>2.3333333333333333E-4</v>
      </c>
      <c r="W5" s="5">
        <f t="shared" si="1"/>
        <v>6.881E-3</v>
      </c>
      <c r="X5">
        <f t="shared" si="2"/>
        <v>4287</v>
      </c>
      <c r="Y5" s="5">
        <f t="shared" si="3"/>
        <v>126423.62999999999</v>
      </c>
      <c r="Z5" s="5">
        <f t="shared" si="4"/>
        <v>29.498847000000001</v>
      </c>
    </row>
    <row r="6" spans="1:26" x14ac:dyDescent="0.3">
      <c r="A6" t="s">
        <v>1561</v>
      </c>
      <c r="B6" s="5">
        <f>VLOOKUP(A6,Dim!A:B,2)</f>
        <v>5.74</v>
      </c>
      <c r="C6">
        <v>73.16</v>
      </c>
      <c r="D6">
        <v>0.8</v>
      </c>
      <c r="E6">
        <v>1.532</v>
      </c>
      <c r="F6" s="1">
        <v>3.1699999999999999E-2</v>
      </c>
      <c r="G6">
        <v>0.57299999999999995</v>
      </c>
      <c r="H6">
        <v>10.09</v>
      </c>
      <c r="I6">
        <v>15.94</v>
      </c>
      <c r="J6">
        <v>24.17</v>
      </c>
      <c r="K6">
        <v>14.03</v>
      </c>
      <c r="L6">
        <v>7.04</v>
      </c>
      <c r="M6" s="1">
        <v>9.6100000000000005E-2</v>
      </c>
      <c r="N6" s="1">
        <v>2.0899999999999998E-2</v>
      </c>
      <c r="O6">
        <v>1.23</v>
      </c>
      <c r="P6" s="1">
        <v>0.04</v>
      </c>
      <c r="Q6" s="1">
        <v>1.09E-2</v>
      </c>
      <c r="R6" s="3">
        <v>13786900</v>
      </c>
      <c r="S6" s="3">
        <v>2754100000</v>
      </c>
      <c r="T6">
        <v>0.03</v>
      </c>
      <c r="U6" s="1">
        <v>0.22189999999999999</v>
      </c>
      <c r="V6" s="4">
        <f t="shared" si="0"/>
        <v>2.6416666666666667E-3</v>
      </c>
      <c r="W6" s="5">
        <f t="shared" si="1"/>
        <v>1.5163166666666667E-2</v>
      </c>
      <c r="X6">
        <f t="shared" si="2"/>
        <v>380</v>
      </c>
      <c r="Y6" s="5">
        <f t="shared" si="3"/>
        <v>2181.2000000000003</v>
      </c>
      <c r="Z6" s="5">
        <f t="shared" si="4"/>
        <v>5.7620033333333334</v>
      </c>
    </row>
    <row r="7" spans="1:26" x14ac:dyDescent="0.3">
      <c r="A7" t="s">
        <v>1558</v>
      </c>
      <c r="B7" s="5">
        <f>VLOOKUP(A7,Dim!A:B,2)</f>
        <v>22.54</v>
      </c>
      <c r="C7">
        <v>70.08</v>
      </c>
      <c r="D7">
        <v>0.66</v>
      </c>
      <c r="E7">
        <v>0</v>
      </c>
      <c r="F7" s="1">
        <v>2.6100000000000002E-2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 s="1">
        <v>0</v>
      </c>
      <c r="N7" s="1">
        <v>0</v>
      </c>
      <c r="O7">
        <v>0</v>
      </c>
      <c r="P7" s="1">
        <v>0</v>
      </c>
      <c r="Q7" s="1">
        <v>9.4999999999999998E-3</v>
      </c>
      <c r="R7">
        <v>0</v>
      </c>
      <c r="S7" s="3">
        <v>1671490000</v>
      </c>
      <c r="T7">
        <v>0</v>
      </c>
      <c r="U7" s="1">
        <v>-0.44719999999999999</v>
      </c>
      <c r="V7" s="4">
        <f t="shared" si="0"/>
        <v>2.1750000000000003E-3</v>
      </c>
      <c r="W7" s="5">
        <f t="shared" si="1"/>
        <v>4.9024500000000006E-2</v>
      </c>
      <c r="X7">
        <f t="shared" si="2"/>
        <v>461</v>
      </c>
      <c r="Y7" s="5">
        <f t="shared" si="3"/>
        <v>10390.94</v>
      </c>
      <c r="Z7" s="5">
        <f t="shared" si="4"/>
        <v>22.600294500000004</v>
      </c>
    </row>
    <row r="8" spans="1:26" x14ac:dyDescent="0.3">
      <c r="A8" t="s">
        <v>1500</v>
      </c>
      <c r="B8" s="5">
        <f>VLOOKUP(A8,Dim!A:B,2)</f>
        <v>0</v>
      </c>
      <c r="C8">
        <v>30.14</v>
      </c>
      <c r="D8">
        <v>5.29</v>
      </c>
      <c r="E8">
        <v>4.5990000000000002</v>
      </c>
      <c r="F8" s="1">
        <v>1.54E-2</v>
      </c>
      <c r="G8">
        <v>2.89</v>
      </c>
      <c r="H8">
        <v>14.18</v>
      </c>
      <c r="I8">
        <v>12.24</v>
      </c>
      <c r="J8">
        <v>-44.81</v>
      </c>
      <c r="K8">
        <v>12.05</v>
      </c>
      <c r="L8">
        <v>10.37</v>
      </c>
      <c r="M8" s="1">
        <v>0.37569999999999998</v>
      </c>
      <c r="N8" s="1">
        <v>0.1565</v>
      </c>
      <c r="O8">
        <v>2.36</v>
      </c>
      <c r="P8" s="1">
        <v>0.31840000000000002</v>
      </c>
      <c r="Q8" s="1">
        <v>0.17549999999999999</v>
      </c>
      <c r="R8" s="3">
        <v>106527000</v>
      </c>
      <c r="S8" s="3">
        <v>4897170000</v>
      </c>
      <c r="T8">
        <v>0.35</v>
      </c>
      <c r="U8" s="1">
        <v>0.17910000000000001</v>
      </c>
      <c r="V8" s="4">
        <f t="shared" si="0"/>
        <v>1.2833333333333334E-3</v>
      </c>
      <c r="W8" s="5">
        <f t="shared" si="1"/>
        <v>0</v>
      </c>
      <c r="X8" t="e">
        <f t="shared" si="2"/>
        <v>#DIV/0!</v>
      </c>
      <c r="Y8" s="5" t="e">
        <f t="shared" si="3"/>
        <v>#DIV/0!</v>
      </c>
      <c r="Z8" s="5" t="e">
        <f t="shared" si="4"/>
        <v>#DIV/0!</v>
      </c>
    </row>
    <row r="9" spans="1:26" x14ac:dyDescent="0.3">
      <c r="A9" t="s">
        <v>1540</v>
      </c>
      <c r="B9" s="5">
        <f>VLOOKUP(A9,Dim!A:B,2)</f>
        <v>18.149999999999999</v>
      </c>
      <c r="C9">
        <v>46.44</v>
      </c>
      <c r="D9">
        <v>13.95</v>
      </c>
      <c r="E9">
        <v>5.0069999999999997</v>
      </c>
      <c r="F9" s="1">
        <v>5.7000000000000002E-3</v>
      </c>
      <c r="G9">
        <v>5.5579999999999998</v>
      </c>
      <c r="H9">
        <v>-47.56</v>
      </c>
      <c r="I9">
        <v>26</v>
      </c>
      <c r="J9">
        <v>-14.26</v>
      </c>
      <c r="K9">
        <v>26.71</v>
      </c>
      <c r="L9">
        <v>22.94</v>
      </c>
      <c r="M9" s="1">
        <v>0.19259999999999999</v>
      </c>
      <c r="N9" s="1">
        <v>0.10780000000000001</v>
      </c>
      <c r="O9">
        <v>0.64</v>
      </c>
      <c r="P9" s="1">
        <v>0.24510000000000001</v>
      </c>
      <c r="Q9" s="1">
        <v>0.3004</v>
      </c>
      <c r="R9">
        <v>224.4</v>
      </c>
      <c r="S9" s="3">
        <v>1795760000</v>
      </c>
      <c r="T9">
        <v>0.49</v>
      </c>
      <c r="U9" s="1">
        <v>0.1079</v>
      </c>
      <c r="V9" s="4">
        <f t="shared" si="0"/>
        <v>4.75E-4</v>
      </c>
      <c r="W9" s="5">
        <f t="shared" si="1"/>
        <v>8.6212499999999987E-3</v>
      </c>
      <c r="X9">
        <f t="shared" si="2"/>
        <v>2107</v>
      </c>
      <c r="Y9" s="5">
        <f t="shared" si="3"/>
        <v>38242.049999999996</v>
      </c>
      <c r="Z9" s="5">
        <f t="shared" si="4"/>
        <v>18.164973749999998</v>
      </c>
    </row>
    <row r="10" spans="1:26" x14ac:dyDescent="0.3">
      <c r="A10" t="s">
        <v>1539</v>
      </c>
      <c r="B10" s="5">
        <f>VLOOKUP(A10,Dim!A:B,2)</f>
        <v>29.49</v>
      </c>
      <c r="C10">
        <v>45.07</v>
      </c>
      <c r="D10">
        <v>2.17</v>
      </c>
      <c r="E10">
        <v>2.0920000000000001</v>
      </c>
      <c r="F10" s="1">
        <v>5.1700000000000003E-2</v>
      </c>
      <c r="G10">
        <v>0.57499999999999996</v>
      </c>
      <c r="H10">
        <v>8.57</v>
      </c>
      <c r="I10">
        <v>5.1100000000000003</v>
      </c>
      <c r="J10">
        <v>-1.03</v>
      </c>
      <c r="K10">
        <v>7.78</v>
      </c>
      <c r="L10">
        <v>4.8099999999999996</v>
      </c>
      <c r="M10" s="1">
        <v>0.40920000000000001</v>
      </c>
      <c r="N10" s="1">
        <v>4.7600000000000003E-2</v>
      </c>
      <c r="O10">
        <v>1.62</v>
      </c>
      <c r="P10" s="1">
        <v>0.13039999999999999</v>
      </c>
      <c r="Q10" s="1">
        <v>4.8099999999999997E-2</v>
      </c>
      <c r="R10" s="3">
        <v>228970000</v>
      </c>
      <c r="S10" s="3">
        <v>13404700000</v>
      </c>
      <c r="T10">
        <v>1.58</v>
      </c>
      <c r="U10" s="1">
        <v>0.17530000000000001</v>
      </c>
      <c r="V10" s="4">
        <f t="shared" si="0"/>
        <v>4.3083333333333333E-3</v>
      </c>
      <c r="W10" s="5">
        <f t="shared" si="1"/>
        <v>0.12705274999999999</v>
      </c>
      <c r="X10">
        <f t="shared" si="2"/>
        <v>234</v>
      </c>
      <c r="Y10" s="5">
        <f t="shared" si="3"/>
        <v>6900.66</v>
      </c>
      <c r="Z10" s="5">
        <f t="shared" si="4"/>
        <v>29.730343499999996</v>
      </c>
    </row>
    <row r="11" spans="1:26" x14ac:dyDescent="0.3">
      <c r="A11" t="s">
        <v>1536</v>
      </c>
      <c r="B11" s="5">
        <f>VLOOKUP(A11,Dim!A:B,2)</f>
        <v>5.74</v>
      </c>
      <c r="C11">
        <v>42.82</v>
      </c>
      <c r="D11">
        <v>0.95</v>
      </c>
      <c r="E11">
        <v>8.1159999999999997</v>
      </c>
      <c r="F11" s="1">
        <v>0.01</v>
      </c>
      <c r="G11">
        <v>0.75800000000000001</v>
      </c>
      <c r="H11">
        <v>-29.1</v>
      </c>
      <c r="I11">
        <v>13.43</v>
      </c>
      <c r="J11">
        <v>-4.42</v>
      </c>
      <c r="K11">
        <v>13.95</v>
      </c>
      <c r="L11">
        <v>13.15</v>
      </c>
      <c r="M11" s="1">
        <v>0.60429999999999995</v>
      </c>
      <c r="N11" s="1">
        <v>0.1895</v>
      </c>
      <c r="O11">
        <v>0.56999999999999995</v>
      </c>
      <c r="P11" s="1">
        <v>5.74E-2</v>
      </c>
      <c r="Q11" s="1">
        <v>2.23E-2</v>
      </c>
      <c r="R11" s="3">
        <v>649092</v>
      </c>
      <c r="S11" s="3">
        <v>732067000</v>
      </c>
      <c r="T11">
        <v>0.06</v>
      </c>
      <c r="U11" s="1">
        <v>-9.3899999999999997E-2</v>
      </c>
      <c r="V11" s="4">
        <f t="shared" si="0"/>
        <v>8.3333333333333339E-4</v>
      </c>
      <c r="W11" s="5">
        <f t="shared" si="1"/>
        <v>4.7833333333333339E-3</v>
      </c>
      <c r="X11">
        <f t="shared" si="2"/>
        <v>1201</v>
      </c>
      <c r="Y11" s="5">
        <f t="shared" si="3"/>
        <v>6893.7400000000007</v>
      </c>
      <c r="Z11" s="5">
        <f t="shared" si="4"/>
        <v>5.7447833333333342</v>
      </c>
    </row>
    <row r="12" spans="1:26" x14ac:dyDescent="0.3">
      <c r="A12" t="s">
        <v>1412</v>
      </c>
      <c r="B12" s="5">
        <f>VLOOKUP(A12,Dim!A:B,2)</f>
        <v>0</v>
      </c>
      <c r="C12">
        <v>15.3</v>
      </c>
      <c r="D12">
        <v>15.55</v>
      </c>
      <c r="E12">
        <v>3.754</v>
      </c>
      <c r="F12" s="1">
        <v>2.2100000000000002E-2</v>
      </c>
      <c r="G12">
        <v>2.258</v>
      </c>
      <c r="H12">
        <v>76.400000000000006</v>
      </c>
      <c r="I12">
        <v>8.5</v>
      </c>
      <c r="J12">
        <v>-3.44</v>
      </c>
      <c r="K12">
        <v>9.94</v>
      </c>
      <c r="L12">
        <v>8.36</v>
      </c>
      <c r="M12" s="1">
        <v>0.4415</v>
      </c>
      <c r="N12" s="1">
        <v>0.24529999999999999</v>
      </c>
      <c r="O12">
        <v>1.18</v>
      </c>
      <c r="P12" s="1">
        <v>0.30480000000000002</v>
      </c>
      <c r="Q12" s="1">
        <v>1.0158</v>
      </c>
      <c r="R12" s="3">
        <v>58675300</v>
      </c>
      <c r="S12" s="3">
        <v>801593000</v>
      </c>
      <c r="T12">
        <v>3.35</v>
      </c>
      <c r="U12" s="1">
        <v>0.27579999999999999</v>
      </c>
      <c r="V12" s="4">
        <f t="shared" si="0"/>
        <v>1.8416666666666668E-3</v>
      </c>
      <c r="W12" s="5">
        <f t="shared" si="1"/>
        <v>0</v>
      </c>
      <c r="X12" t="e">
        <f t="shared" si="2"/>
        <v>#DIV/0!</v>
      </c>
      <c r="Y12" s="5" t="e">
        <f t="shared" si="3"/>
        <v>#DIV/0!</v>
      </c>
      <c r="Z12" s="5" t="e">
        <f t="shared" si="4"/>
        <v>#DIV/0!</v>
      </c>
    </row>
    <row r="13" spans="1:26" x14ac:dyDescent="0.3">
      <c r="A13" t="s">
        <v>1531</v>
      </c>
      <c r="B13" s="5">
        <f>VLOOKUP(A13,Dim!A:B,2)</f>
        <v>5.74</v>
      </c>
      <c r="C13">
        <v>41.34</v>
      </c>
      <c r="D13">
        <v>0.46</v>
      </c>
      <c r="E13">
        <v>0.38</v>
      </c>
      <c r="F13" s="1">
        <v>1.5E-3</v>
      </c>
      <c r="G13">
        <v>0.17899999999999999</v>
      </c>
      <c r="H13">
        <v>1.18</v>
      </c>
      <c r="I13">
        <v>2.66</v>
      </c>
      <c r="J13">
        <v>-1.23</v>
      </c>
      <c r="K13">
        <v>6.87</v>
      </c>
      <c r="L13">
        <v>4.3</v>
      </c>
      <c r="M13" s="1">
        <v>0.14280000000000001</v>
      </c>
      <c r="N13" s="1">
        <v>8.6E-3</v>
      </c>
      <c r="O13">
        <v>1.48</v>
      </c>
      <c r="P13" s="1">
        <v>7.3999999999999996E-2</v>
      </c>
      <c r="Q13" s="1">
        <v>1.0999999999999999E-2</v>
      </c>
      <c r="R13" s="3">
        <v>435691</v>
      </c>
      <c r="S13" s="3">
        <v>871729000</v>
      </c>
      <c r="T13">
        <v>0.93</v>
      </c>
      <c r="U13" s="1">
        <v>0.1045</v>
      </c>
      <c r="V13" s="4">
        <f t="shared" si="0"/>
        <v>1.25E-4</v>
      </c>
      <c r="W13" s="5">
        <f t="shared" si="1"/>
        <v>7.1750000000000004E-4</v>
      </c>
      <c r="X13">
        <f t="shared" si="2"/>
        <v>8001</v>
      </c>
      <c r="Y13" s="5">
        <f t="shared" si="3"/>
        <v>45925.740000000005</v>
      </c>
      <c r="Z13" s="5">
        <f t="shared" si="4"/>
        <v>5.7407175000000006</v>
      </c>
    </row>
    <row r="14" spans="1:26" x14ac:dyDescent="0.3">
      <c r="A14" t="s">
        <v>1528</v>
      </c>
      <c r="B14" s="5">
        <f>VLOOKUP(A14,Dim!A:B,2)</f>
        <v>29.95</v>
      </c>
      <c r="C14">
        <v>39.74</v>
      </c>
      <c r="D14">
        <v>4.53</v>
      </c>
      <c r="E14">
        <v>3.5550000000000002</v>
      </c>
      <c r="F14" s="1">
        <v>6.3E-3</v>
      </c>
      <c r="G14">
        <v>1.3939999999999999</v>
      </c>
      <c r="H14">
        <v>10.24</v>
      </c>
      <c r="I14">
        <v>13.53</v>
      </c>
      <c r="J14">
        <v>-4.49</v>
      </c>
      <c r="K14">
        <v>15.97</v>
      </c>
      <c r="L14">
        <v>11.64</v>
      </c>
      <c r="M14" s="1">
        <v>0.2626</v>
      </c>
      <c r="N14" s="1">
        <v>0.1144</v>
      </c>
      <c r="O14">
        <v>1.76</v>
      </c>
      <c r="P14" s="1">
        <v>0.13800000000000001</v>
      </c>
      <c r="Q14" s="1">
        <v>0.114</v>
      </c>
      <c r="R14">
        <v>0</v>
      </c>
      <c r="S14" s="3">
        <v>983781000</v>
      </c>
      <c r="T14">
        <v>1.45</v>
      </c>
      <c r="U14" s="1">
        <v>0.52680000000000005</v>
      </c>
      <c r="V14" s="4">
        <f t="shared" si="0"/>
        <v>5.2499999999999997E-4</v>
      </c>
      <c r="W14" s="5">
        <f t="shared" si="1"/>
        <v>1.5723749999999998E-2</v>
      </c>
      <c r="X14">
        <f t="shared" si="2"/>
        <v>1906</v>
      </c>
      <c r="Y14" s="5">
        <f t="shared" si="3"/>
        <v>57084.7</v>
      </c>
      <c r="Z14" s="5">
        <f t="shared" si="4"/>
        <v>29.969467499999997</v>
      </c>
    </row>
    <row r="15" spans="1:26" x14ac:dyDescent="0.3">
      <c r="A15" t="s">
        <v>1526</v>
      </c>
      <c r="B15" s="5">
        <f>VLOOKUP(A15,Dim!A:B,2)</f>
        <v>58</v>
      </c>
      <c r="C15">
        <v>38.57</v>
      </c>
      <c r="D15">
        <v>2.2000000000000002</v>
      </c>
      <c r="E15">
        <v>10.717000000000001</v>
      </c>
      <c r="F15" s="1">
        <v>9.4999999999999998E-3</v>
      </c>
      <c r="G15">
        <v>1.202</v>
      </c>
      <c r="H15">
        <v>9.41</v>
      </c>
      <c r="I15">
        <v>19.329999999999998</v>
      </c>
      <c r="J15">
        <v>-4.22</v>
      </c>
      <c r="K15">
        <v>17.489999999999998</v>
      </c>
      <c r="L15">
        <v>14.08</v>
      </c>
      <c r="M15" s="1">
        <v>0.55449999999999999</v>
      </c>
      <c r="N15" s="1">
        <v>0.29299999999999998</v>
      </c>
      <c r="O15">
        <v>5.39</v>
      </c>
      <c r="P15" s="1">
        <v>7.0300000000000001E-2</v>
      </c>
      <c r="Q15" s="1">
        <v>5.6899999999999999E-2</v>
      </c>
      <c r="R15">
        <v>0</v>
      </c>
      <c r="S15" s="3">
        <v>2593960000</v>
      </c>
      <c r="T15">
        <v>0</v>
      </c>
      <c r="U15" s="1">
        <v>2.3400000000000001E-2</v>
      </c>
      <c r="V15" s="4">
        <f t="shared" si="0"/>
        <v>7.9166666666666665E-4</v>
      </c>
      <c r="W15" s="5">
        <f t="shared" si="1"/>
        <v>4.5916666666666668E-2</v>
      </c>
      <c r="X15">
        <f t="shared" si="2"/>
        <v>1265</v>
      </c>
      <c r="Y15" s="5">
        <f t="shared" si="3"/>
        <v>73370</v>
      </c>
      <c r="Z15" s="5">
        <f t="shared" si="4"/>
        <v>58.084583333333335</v>
      </c>
    </row>
    <row r="16" spans="1:26" x14ac:dyDescent="0.3">
      <c r="A16" t="s">
        <v>1524</v>
      </c>
      <c r="B16" s="5">
        <f>VLOOKUP(A16,Dim!A:B,2)</f>
        <v>106.55</v>
      </c>
      <c r="C16">
        <v>37.770000000000003</v>
      </c>
      <c r="D16">
        <v>0.66</v>
      </c>
      <c r="E16">
        <v>0</v>
      </c>
      <c r="F16" s="1">
        <v>3.5999999999999997E-2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s="1">
        <v>0</v>
      </c>
      <c r="N16" s="1">
        <v>0</v>
      </c>
      <c r="O16">
        <v>0</v>
      </c>
      <c r="P16" s="1">
        <v>0</v>
      </c>
      <c r="Q16" s="1">
        <v>1.7399999999999999E-2</v>
      </c>
      <c r="R16">
        <v>0</v>
      </c>
      <c r="S16" s="3">
        <v>1058750000</v>
      </c>
      <c r="T16">
        <v>0</v>
      </c>
      <c r="U16" s="1">
        <v>-1E-3</v>
      </c>
      <c r="V16" s="4">
        <f t="shared" si="0"/>
        <v>2.9999999999999996E-3</v>
      </c>
      <c r="W16" s="5">
        <f t="shared" si="1"/>
        <v>0.31964999999999993</v>
      </c>
      <c r="X16">
        <f t="shared" si="2"/>
        <v>335</v>
      </c>
      <c r="Y16" s="5">
        <f t="shared" si="3"/>
        <v>35694.25</v>
      </c>
      <c r="Z16" s="5">
        <f t="shared" si="4"/>
        <v>107.08274999999998</v>
      </c>
    </row>
    <row r="17" spans="1:26" x14ac:dyDescent="0.3">
      <c r="A17" t="s">
        <v>1206</v>
      </c>
      <c r="B17" s="5">
        <f>VLOOKUP(A17,Dim!A:B,2)</f>
        <v>0</v>
      </c>
      <c r="C17">
        <v>7.56</v>
      </c>
      <c r="D17">
        <v>2.57</v>
      </c>
      <c r="E17">
        <v>1.841</v>
      </c>
      <c r="F17" s="1">
        <v>0.11849999999999999</v>
      </c>
      <c r="G17">
        <v>1.8069999999999999</v>
      </c>
      <c r="H17">
        <v>4.0999999999999996</v>
      </c>
      <c r="I17">
        <v>10.74</v>
      </c>
      <c r="J17">
        <v>4.68</v>
      </c>
      <c r="K17">
        <v>10.99</v>
      </c>
      <c r="L17">
        <v>9.08</v>
      </c>
      <c r="M17" s="1">
        <v>0.1714</v>
      </c>
      <c r="N17" s="1">
        <v>0.2437</v>
      </c>
      <c r="O17">
        <v>2.82</v>
      </c>
      <c r="P17" s="1">
        <v>0.18779999999999999</v>
      </c>
      <c r="Q17" s="1">
        <v>0.33989999999999998</v>
      </c>
      <c r="R17" s="3">
        <v>21127300</v>
      </c>
      <c r="S17" s="3">
        <v>2356050000</v>
      </c>
      <c r="T17">
        <v>0.15</v>
      </c>
      <c r="U17" s="1">
        <v>0.18870000000000001</v>
      </c>
      <c r="V17" s="4">
        <f t="shared" si="0"/>
        <v>9.8750000000000001E-3</v>
      </c>
      <c r="W17" s="5">
        <f t="shared" si="1"/>
        <v>0</v>
      </c>
      <c r="X17" t="e">
        <f t="shared" si="2"/>
        <v>#DIV/0!</v>
      </c>
      <c r="Y17" s="5" t="e">
        <f t="shared" si="3"/>
        <v>#DIV/0!</v>
      </c>
      <c r="Z17" s="5" t="e">
        <f t="shared" si="4"/>
        <v>#DIV/0!</v>
      </c>
    </row>
    <row r="18" spans="1:26" x14ac:dyDescent="0.3">
      <c r="A18" t="s">
        <v>1240</v>
      </c>
      <c r="B18" s="5">
        <f>VLOOKUP(A18,Dim!A:B,2)</f>
        <v>0</v>
      </c>
      <c r="C18">
        <v>8.52</v>
      </c>
      <c r="D18">
        <v>2.4</v>
      </c>
      <c r="E18">
        <v>1.08</v>
      </c>
      <c r="F18" s="1">
        <v>7.4899999999999994E-2</v>
      </c>
      <c r="G18">
        <v>1.708</v>
      </c>
      <c r="H18">
        <v>4.74</v>
      </c>
      <c r="I18">
        <v>6.63</v>
      </c>
      <c r="J18">
        <v>6.86</v>
      </c>
      <c r="K18">
        <v>6.21</v>
      </c>
      <c r="L18">
        <v>5.75</v>
      </c>
      <c r="M18" s="1">
        <v>0.16309999999999999</v>
      </c>
      <c r="N18" s="1">
        <v>0.127</v>
      </c>
      <c r="O18">
        <v>3.03</v>
      </c>
      <c r="P18" s="1">
        <v>0.36109999999999998</v>
      </c>
      <c r="Q18" s="1">
        <v>0.28199999999999997</v>
      </c>
      <c r="R18" s="3">
        <v>6988280</v>
      </c>
      <c r="S18" s="3">
        <v>993359000</v>
      </c>
      <c r="T18">
        <v>0.2</v>
      </c>
      <c r="U18" s="1">
        <v>0.2117</v>
      </c>
      <c r="V18" s="4">
        <f t="shared" si="0"/>
        <v>6.2416666666666662E-3</v>
      </c>
      <c r="W18" s="5">
        <f t="shared" si="1"/>
        <v>0</v>
      </c>
      <c r="X18" t="e">
        <f t="shared" si="2"/>
        <v>#DIV/0!</v>
      </c>
      <c r="Y18" s="5" t="e">
        <f t="shared" si="3"/>
        <v>#DIV/0!</v>
      </c>
      <c r="Z18" s="5" t="e">
        <f t="shared" si="4"/>
        <v>#DIV/0!</v>
      </c>
    </row>
    <row r="19" spans="1:26" x14ac:dyDescent="0.3">
      <c r="A19" t="s">
        <v>1522</v>
      </c>
      <c r="B19" s="5">
        <f>VLOOKUP(A19,Dim!A:B,2)</f>
        <v>29.49</v>
      </c>
      <c r="C19">
        <v>36.76</v>
      </c>
      <c r="D19">
        <v>5.3</v>
      </c>
      <c r="E19">
        <v>2.5649999999999999</v>
      </c>
      <c r="F19" s="1">
        <v>5.2200000000000003E-2</v>
      </c>
      <c r="G19">
        <v>2.0950000000000002</v>
      </c>
      <c r="H19">
        <v>-54.06</v>
      </c>
      <c r="I19">
        <v>17.52</v>
      </c>
      <c r="J19">
        <v>-8.6199999999999992</v>
      </c>
      <c r="K19">
        <v>18.12</v>
      </c>
      <c r="L19">
        <v>11.99</v>
      </c>
      <c r="M19" s="1">
        <v>0.1464</v>
      </c>
      <c r="N19" s="1">
        <v>7.0000000000000007E-2</v>
      </c>
      <c r="O19">
        <v>0.9</v>
      </c>
      <c r="P19" s="1">
        <v>0.15260000000000001</v>
      </c>
      <c r="Q19" s="1">
        <v>0.14419999999999999</v>
      </c>
      <c r="R19">
        <v>0</v>
      </c>
      <c r="S19" s="3">
        <v>1019310000</v>
      </c>
      <c r="T19">
        <v>0.53</v>
      </c>
      <c r="U19" s="1">
        <v>0.15970000000000001</v>
      </c>
      <c r="V19" s="4">
        <f t="shared" si="0"/>
        <v>4.3500000000000006E-3</v>
      </c>
      <c r="W19" s="5">
        <f t="shared" si="1"/>
        <v>0.12828150000000002</v>
      </c>
      <c r="X19">
        <f t="shared" si="2"/>
        <v>231</v>
      </c>
      <c r="Y19" s="5">
        <f t="shared" si="3"/>
        <v>6812.19</v>
      </c>
      <c r="Z19" s="5">
        <f t="shared" si="4"/>
        <v>29.633026500000003</v>
      </c>
    </row>
    <row r="20" spans="1:26" x14ac:dyDescent="0.3">
      <c r="A20" t="s">
        <v>1321</v>
      </c>
      <c r="B20" s="5">
        <f>VLOOKUP(A20,Dim!A:B,2)</f>
        <v>0</v>
      </c>
      <c r="C20">
        <v>10.63</v>
      </c>
      <c r="D20">
        <v>2.59</v>
      </c>
      <c r="E20">
        <v>2.577</v>
      </c>
      <c r="F20" s="1">
        <v>2.18E-2</v>
      </c>
      <c r="G20">
        <v>1.6679999999999999</v>
      </c>
      <c r="H20">
        <v>3.49</v>
      </c>
      <c r="I20">
        <v>10.119999999999999</v>
      </c>
      <c r="J20">
        <v>6.06</v>
      </c>
      <c r="K20">
        <v>10.53</v>
      </c>
      <c r="L20">
        <v>8.67</v>
      </c>
      <c r="M20" s="1">
        <v>0.25459999999999999</v>
      </c>
      <c r="N20" s="1">
        <v>0.24249999999999999</v>
      </c>
      <c r="O20">
        <v>4.13</v>
      </c>
      <c r="P20" s="1">
        <v>0.1799</v>
      </c>
      <c r="Q20" s="1">
        <v>0.24349999999999999</v>
      </c>
      <c r="R20" s="3">
        <v>76250100</v>
      </c>
      <c r="S20" s="3">
        <v>2762510000</v>
      </c>
      <c r="T20">
        <v>0.17</v>
      </c>
      <c r="U20" s="1">
        <v>0.2198</v>
      </c>
      <c r="V20" s="4">
        <f t="shared" si="0"/>
        <v>1.8166666666666667E-3</v>
      </c>
      <c r="W20" s="5">
        <f t="shared" si="1"/>
        <v>0</v>
      </c>
      <c r="X20" t="e">
        <f t="shared" si="2"/>
        <v>#DIV/0!</v>
      </c>
      <c r="Y20" s="5" t="e">
        <f t="shared" si="3"/>
        <v>#DIV/0!</v>
      </c>
      <c r="Z20" s="5" t="e">
        <f t="shared" si="4"/>
        <v>#DIV/0!</v>
      </c>
    </row>
    <row r="21" spans="1:26" x14ac:dyDescent="0.3">
      <c r="A21" t="s">
        <v>1520</v>
      </c>
      <c r="B21" s="5">
        <f>VLOOKUP(A21,Dim!A:B,2)</f>
        <v>5.74</v>
      </c>
      <c r="C21">
        <v>35.909999999999997</v>
      </c>
      <c r="D21">
        <v>0.42</v>
      </c>
      <c r="E21">
        <v>0.123</v>
      </c>
      <c r="F21" s="1">
        <v>2.9000000000000001E-2</v>
      </c>
      <c r="G21">
        <v>0.113</v>
      </c>
      <c r="H21">
        <v>0.35</v>
      </c>
      <c r="I21">
        <v>3.64</v>
      </c>
      <c r="J21">
        <v>1.92</v>
      </c>
      <c r="K21">
        <v>11.16</v>
      </c>
      <c r="L21">
        <v>9.3699999999999992</v>
      </c>
      <c r="M21" s="1">
        <v>3.3700000000000001E-2</v>
      </c>
      <c r="N21" s="1">
        <v>6.1999999999999998E-3</v>
      </c>
      <c r="O21">
        <v>1.83</v>
      </c>
      <c r="P21" s="1">
        <v>4.6300000000000001E-2</v>
      </c>
      <c r="Q21" s="1">
        <v>1.17E-2</v>
      </c>
      <c r="R21">
        <v>0</v>
      </c>
      <c r="S21" s="3">
        <v>603273000</v>
      </c>
      <c r="T21">
        <v>2.02</v>
      </c>
      <c r="U21" s="1">
        <v>3.7199999999999997E-2</v>
      </c>
      <c r="V21" s="4">
        <f t="shared" si="0"/>
        <v>2.4166666666666668E-3</v>
      </c>
      <c r="W21" s="5">
        <f t="shared" si="1"/>
        <v>1.3871666666666668E-2</v>
      </c>
      <c r="X21">
        <f t="shared" si="2"/>
        <v>415</v>
      </c>
      <c r="Y21" s="5">
        <f t="shared" si="3"/>
        <v>2382.1</v>
      </c>
      <c r="Z21" s="5">
        <f t="shared" si="4"/>
        <v>5.7567416666666666</v>
      </c>
    </row>
    <row r="22" spans="1:26" x14ac:dyDescent="0.3">
      <c r="A22" t="s">
        <v>1517</v>
      </c>
      <c r="B22" s="5">
        <f>VLOOKUP(A22,Dim!A:B,2)</f>
        <v>18.149999999999999</v>
      </c>
      <c r="C22">
        <v>34.409999999999997</v>
      </c>
      <c r="D22">
        <v>4.78</v>
      </c>
      <c r="E22">
        <v>5.6559999999999997</v>
      </c>
      <c r="F22" s="1">
        <v>4.5999999999999999E-3</v>
      </c>
      <c r="G22">
        <v>2.04</v>
      </c>
      <c r="H22">
        <v>34.200000000000003</v>
      </c>
      <c r="I22">
        <v>17.8</v>
      </c>
      <c r="J22">
        <v>-5.51</v>
      </c>
      <c r="K22">
        <v>20.86</v>
      </c>
      <c r="L22">
        <v>15.8</v>
      </c>
      <c r="M22" s="1">
        <v>0.31769999999999998</v>
      </c>
      <c r="N22" s="1">
        <v>0.16439999999999999</v>
      </c>
      <c r="O22">
        <v>1.42</v>
      </c>
      <c r="P22" s="1">
        <v>0.1293</v>
      </c>
      <c r="Q22" s="1">
        <v>0.13880000000000001</v>
      </c>
      <c r="R22">
        <v>0</v>
      </c>
      <c r="S22" s="3">
        <v>2517980000</v>
      </c>
      <c r="T22">
        <v>1.05</v>
      </c>
      <c r="U22" s="1">
        <v>0.16669999999999999</v>
      </c>
      <c r="V22" s="4">
        <f t="shared" si="0"/>
        <v>3.8333333333333334E-4</v>
      </c>
      <c r="W22" s="5">
        <f t="shared" si="1"/>
        <v>6.9574999999999993E-3</v>
      </c>
      <c r="X22">
        <f t="shared" si="2"/>
        <v>2610</v>
      </c>
      <c r="Y22" s="5">
        <f t="shared" si="3"/>
        <v>47371.499999999993</v>
      </c>
      <c r="Z22" s="5">
        <f t="shared" si="4"/>
        <v>18.159074999999998</v>
      </c>
    </row>
    <row r="23" spans="1:26" x14ac:dyDescent="0.3">
      <c r="A23" t="s">
        <v>1513</v>
      </c>
      <c r="B23" s="5">
        <f>VLOOKUP(A23,Dim!A:B,2)</f>
        <v>29.95</v>
      </c>
      <c r="C23">
        <v>33.270000000000003</v>
      </c>
      <c r="D23">
        <v>3.62</v>
      </c>
      <c r="E23">
        <v>0.84199999999999997</v>
      </c>
      <c r="F23" s="1">
        <v>2.5000000000000001E-3</v>
      </c>
      <c r="G23">
        <v>1.452</v>
      </c>
      <c r="H23">
        <v>5.0999999999999996</v>
      </c>
      <c r="I23">
        <v>70.89</v>
      </c>
      <c r="J23">
        <v>-150.12</v>
      </c>
      <c r="K23">
        <v>84.56</v>
      </c>
      <c r="L23">
        <v>33.61</v>
      </c>
      <c r="M23" s="1">
        <v>1.1900000000000001E-2</v>
      </c>
      <c r="N23" s="1">
        <v>2.53E-2</v>
      </c>
      <c r="O23">
        <v>1.94</v>
      </c>
      <c r="P23" s="1">
        <v>2.52E-2</v>
      </c>
      <c r="Q23" s="1">
        <v>0.1087</v>
      </c>
      <c r="R23">
        <v>0</v>
      </c>
      <c r="S23" s="3">
        <v>226327000</v>
      </c>
      <c r="T23">
        <v>0.99</v>
      </c>
      <c r="U23" s="1">
        <v>5.6899999999999999E-2</v>
      </c>
      <c r="V23" s="4">
        <f t="shared" si="0"/>
        <v>2.0833333333333335E-4</v>
      </c>
      <c r="W23" s="5">
        <f t="shared" si="1"/>
        <v>6.239583333333334E-3</v>
      </c>
      <c r="X23">
        <f t="shared" si="2"/>
        <v>4801</v>
      </c>
      <c r="Y23" s="5">
        <f t="shared" si="3"/>
        <v>143789.94999999998</v>
      </c>
      <c r="Z23" s="5">
        <f t="shared" si="4"/>
        <v>29.956239583333335</v>
      </c>
    </row>
    <row r="24" spans="1:26" x14ac:dyDescent="0.3">
      <c r="A24" t="s">
        <v>1511</v>
      </c>
      <c r="B24" s="5">
        <f>VLOOKUP(A24,Dim!A:B,2)</f>
        <v>22.54</v>
      </c>
      <c r="C24">
        <v>33.11</v>
      </c>
      <c r="D24">
        <v>0.73</v>
      </c>
      <c r="E24">
        <v>273.03899999999999</v>
      </c>
      <c r="F24" s="1">
        <v>2.1399999999999999E-2</v>
      </c>
      <c r="G24">
        <v>0.32500000000000001</v>
      </c>
      <c r="H24">
        <v>0.85</v>
      </c>
      <c r="I24">
        <v>-1.39</v>
      </c>
      <c r="J24">
        <v>1.65</v>
      </c>
      <c r="K24">
        <v>0.89</v>
      </c>
      <c r="L24">
        <v>0.91</v>
      </c>
      <c r="M24" s="1">
        <v>-196.369</v>
      </c>
      <c r="N24" s="1">
        <v>13.812900000000001</v>
      </c>
      <c r="O24">
        <v>3.06</v>
      </c>
      <c r="P24" s="1">
        <v>-0.50029999999999997</v>
      </c>
      <c r="Q24" s="1">
        <v>2.2100000000000002E-2</v>
      </c>
      <c r="R24">
        <v>0</v>
      </c>
      <c r="S24" s="3">
        <v>1324180000</v>
      </c>
      <c r="T24">
        <v>0</v>
      </c>
      <c r="U24" s="1">
        <v>-0.45610000000000001</v>
      </c>
      <c r="V24" s="4">
        <f t="shared" si="0"/>
        <v>1.7833333333333332E-3</v>
      </c>
      <c r="W24" s="5">
        <f t="shared" si="1"/>
        <v>4.0196333333333327E-2</v>
      </c>
      <c r="X24">
        <f t="shared" si="2"/>
        <v>562</v>
      </c>
      <c r="Y24" s="5">
        <f t="shared" si="3"/>
        <v>12667.48</v>
      </c>
      <c r="Z24" s="5">
        <f t="shared" si="4"/>
        <v>22.590339333333329</v>
      </c>
    </row>
    <row r="25" spans="1:26" x14ac:dyDescent="0.3">
      <c r="A25" t="s">
        <v>1372</v>
      </c>
      <c r="B25" s="5">
        <f>VLOOKUP(A25,Dim!A:B,2)</f>
        <v>0</v>
      </c>
      <c r="C25">
        <v>12.52</v>
      </c>
      <c r="D25">
        <v>1.62</v>
      </c>
      <c r="E25">
        <v>1.7549999999999999</v>
      </c>
      <c r="F25" s="1">
        <v>3.1800000000000002E-2</v>
      </c>
      <c r="G25">
        <v>1.34</v>
      </c>
      <c r="H25">
        <v>3.04</v>
      </c>
      <c r="I25">
        <v>14.38</v>
      </c>
      <c r="J25">
        <v>3.32</v>
      </c>
      <c r="K25">
        <v>12.94</v>
      </c>
      <c r="L25">
        <v>10.62</v>
      </c>
      <c r="M25" s="1">
        <v>0.122</v>
      </c>
      <c r="N25" s="1">
        <v>0.14019999999999999</v>
      </c>
      <c r="O25">
        <v>4.3</v>
      </c>
      <c r="P25" s="1">
        <v>0.1193</v>
      </c>
      <c r="Q25" s="1">
        <v>0.129</v>
      </c>
      <c r="R25" s="3">
        <v>72933.7</v>
      </c>
      <c r="S25" s="3">
        <v>328504000</v>
      </c>
      <c r="T25">
        <v>0.01</v>
      </c>
      <c r="U25" s="1">
        <v>2.0199999999999999E-2</v>
      </c>
      <c r="V25" s="4">
        <f t="shared" si="0"/>
        <v>2.65E-3</v>
      </c>
      <c r="W25" s="5">
        <f t="shared" si="1"/>
        <v>0</v>
      </c>
      <c r="X25" t="e">
        <f t="shared" si="2"/>
        <v>#DIV/0!</v>
      </c>
      <c r="Y25" s="5" t="e">
        <f t="shared" si="3"/>
        <v>#DIV/0!</v>
      </c>
      <c r="Z25" s="5" t="e">
        <f t="shared" si="4"/>
        <v>#DIV/0!</v>
      </c>
    </row>
    <row r="26" spans="1:26" x14ac:dyDescent="0.3">
      <c r="A26" t="s">
        <v>1510</v>
      </c>
      <c r="B26" s="5">
        <f>VLOOKUP(A26,Dim!A:B,2)</f>
        <v>22.54</v>
      </c>
      <c r="C26">
        <v>33.08</v>
      </c>
      <c r="D26">
        <v>0.73</v>
      </c>
      <c r="E26">
        <v>272.83199999999999</v>
      </c>
      <c r="F26" s="1">
        <v>1.78E-2</v>
      </c>
      <c r="G26">
        <v>0.32400000000000001</v>
      </c>
      <c r="H26">
        <v>0.85</v>
      </c>
      <c r="I26">
        <v>-1.39</v>
      </c>
      <c r="J26">
        <v>1.65</v>
      </c>
      <c r="K26">
        <v>0.89</v>
      </c>
      <c r="L26">
        <v>0.91</v>
      </c>
      <c r="M26" s="1">
        <v>-196.369</v>
      </c>
      <c r="N26" s="1">
        <v>13.812900000000001</v>
      </c>
      <c r="O26">
        <v>3.06</v>
      </c>
      <c r="P26" s="1">
        <v>-0.50029999999999997</v>
      </c>
      <c r="Q26" s="1">
        <v>2.2100000000000002E-2</v>
      </c>
      <c r="R26">
        <v>0</v>
      </c>
      <c r="S26" s="3">
        <v>1324180000</v>
      </c>
      <c r="T26">
        <v>0</v>
      </c>
      <c r="U26" s="1">
        <v>-0.45610000000000001</v>
      </c>
      <c r="V26" s="4">
        <f t="shared" si="0"/>
        <v>1.4833333333333332E-3</v>
      </c>
      <c r="W26" s="5">
        <f t="shared" si="1"/>
        <v>3.343433333333333E-2</v>
      </c>
      <c r="X26">
        <f t="shared" si="2"/>
        <v>676</v>
      </c>
      <c r="Y26" s="5">
        <f t="shared" si="3"/>
        <v>15237.039999999999</v>
      </c>
      <c r="Z26" s="5">
        <f t="shared" si="4"/>
        <v>22.601609333333332</v>
      </c>
    </row>
    <row r="27" spans="1:26" x14ac:dyDescent="0.3">
      <c r="A27" t="s">
        <v>1508</v>
      </c>
      <c r="B27" s="5">
        <f>VLOOKUP(A27,Dim!A:B,2)</f>
        <v>22.54</v>
      </c>
      <c r="C27">
        <v>32.83</v>
      </c>
      <c r="D27">
        <v>0.73</v>
      </c>
      <c r="E27">
        <v>270.76</v>
      </c>
      <c r="F27" s="1">
        <v>2.5100000000000001E-2</v>
      </c>
      <c r="G27">
        <v>0.32200000000000001</v>
      </c>
      <c r="H27">
        <v>0.84</v>
      </c>
      <c r="I27">
        <v>-1.38</v>
      </c>
      <c r="J27">
        <v>1.63</v>
      </c>
      <c r="K27">
        <v>0.9</v>
      </c>
      <c r="L27">
        <v>0.92</v>
      </c>
      <c r="M27" s="1">
        <v>-196.369</v>
      </c>
      <c r="N27" s="1">
        <v>13.812900000000001</v>
      </c>
      <c r="O27">
        <v>3.06</v>
      </c>
      <c r="P27" s="1">
        <v>-0.50029999999999997</v>
      </c>
      <c r="Q27" s="1">
        <v>2.2100000000000002E-2</v>
      </c>
      <c r="R27">
        <v>0</v>
      </c>
      <c r="S27" s="3">
        <v>1324180000</v>
      </c>
      <c r="T27">
        <v>0</v>
      </c>
      <c r="U27" s="1">
        <v>-0.45610000000000001</v>
      </c>
      <c r="V27" s="4">
        <f t="shared" si="0"/>
        <v>2.0916666666666666E-3</v>
      </c>
      <c r="W27" s="5">
        <f t="shared" si="1"/>
        <v>4.7146166666666663E-2</v>
      </c>
      <c r="X27">
        <f t="shared" si="2"/>
        <v>480</v>
      </c>
      <c r="Y27" s="5">
        <f t="shared" si="3"/>
        <v>10819.199999999999</v>
      </c>
      <c r="Z27" s="5">
        <f t="shared" si="4"/>
        <v>22.630159999999997</v>
      </c>
    </row>
    <row r="28" spans="1:26" x14ac:dyDescent="0.3">
      <c r="A28" t="s">
        <v>1506</v>
      </c>
      <c r="B28" s="5">
        <f>VLOOKUP(A28,Dim!A:B,2)</f>
        <v>22.54</v>
      </c>
      <c r="C28">
        <v>32.46</v>
      </c>
      <c r="D28">
        <v>0.72</v>
      </c>
      <c r="E28">
        <v>267.65300000000002</v>
      </c>
      <c r="F28" s="1">
        <v>4.36E-2</v>
      </c>
      <c r="G28">
        <v>0.318</v>
      </c>
      <c r="H28">
        <v>0.83</v>
      </c>
      <c r="I28">
        <v>-1.36</v>
      </c>
      <c r="J28">
        <v>1.62</v>
      </c>
      <c r="K28">
        <v>0.92</v>
      </c>
      <c r="L28">
        <v>0.94</v>
      </c>
      <c r="M28" s="1">
        <v>-196.369</v>
      </c>
      <c r="N28" s="1">
        <v>13.812900000000001</v>
      </c>
      <c r="O28">
        <v>3.06</v>
      </c>
      <c r="P28" s="1">
        <v>-0.50029999999999997</v>
      </c>
      <c r="Q28" s="1">
        <v>2.2100000000000002E-2</v>
      </c>
      <c r="R28">
        <v>0</v>
      </c>
      <c r="S28" s="3">
        <v>1324180000</v>
      </c>
      <c r="T28">
        <v>0</v>
      </c>
      <c r="U28" s="1">
        <v>-0.45610000000000001</v>
      </c>
      <c r="V28" s="4">
        <f t="shared" si="0"/>
        <v>3.6333333333333335E-3</v>
      </c>
      <c r="W28" s="5">
        <f t="shared" si="1"/>
        <v>8.1895333333333334E-2</v>
      </c>
      <c r="X28">
        <f t="shared" si="2"/>
        <v>277</v>
      </c>
      <c r="Y28" s="5">
        <f t="shared" si="3"/>
        <v>6243.58</v>
      </c>
      <c r="Z28" s="5">
        <f t="shared" si="4"/>
        <v>22.685007333333335</v>
      </c>
    </row>
    <row r="29" spans="1:26" x14ac:dyDescent="0.3">
      <c r="A29" t="s">
        <v>1502</v>
      </c>
      <c r="B29" s="5">
        <f>VLOOKUP(A29,Dim!A:B,2)</f>
        <v>29.95</v>
      </c>
      <c r="C29">
        <v>30.48</v>
      </c>
      <c r="D29">
        <v>3.58</v>
      </c>
      <c r="E29">
        <v>1.637</v>
      </c>
      <c r="F29" s="1">
        <v>8.0000000000000004E-4</v>
      </c>
      <c r="G29">
        <v>0.98899999999999999</v>
      </c>
      <c r="H29">
        <v>7.43</v>
      </c>
      <c r="I29">
        <v>14.77</v>
      </c>
      <c r="J29">
        <v>-6.13</v>
      </c>
      <c r="K29">
        <v>15.94</v>
      </c>
      <c r="L29">
        <v>12.01</v>
      </c>
      <c r="M29" s="1">
        <v>0.1109</v>
      </c>
      <c r="N29" s="1">
        <v>5.2600000000000001E-2</v>
      </c>
      <c r="O29">
        <v>1.33</v>
      </c>
      <c r="P29" s="1">
        <v>8.4199999999999997E-2</v>
      </c>
      <c r="Q29" s="1">
        <v>0.11749999999999999</v>
      </c>
      <c r="R29" s="3">
        <v>396937000</v>
      </c>
      <c r="S29" s="3">
        <v>18191200000</v>
      </c>
      <c r="T29">
        <v>0.66</v>
      </c>
      <c r="U29" s="1">
        <v>0.12989999999999999</v>
      </c>
      <c r="V29" s="4">
        <f t="shared" si="0"/>
        <v>6.666666666666667E-5</v>
      </c>
      <c r="W29" s="5">
        <f t="shared" si="1"/>
        <v>1.9966666666666666E-3</v>
      </c>
      <c r="X29">
        <f t="shared" si="2"/>
        <v>15001</v>
      </c>
      <c r="Y29" s="5">
        <f t="shared" si="3"/>
        <v>449279.95</v>
      </c>
      <c r="Z29" s="5">
        <f t="shared" si="4"/>
        <v>29.951996666666666</v>
      </c>
    </row>
    <row r="30" spans="1:26" x14ac:dyDescent="0.3">
      <c r="A30" t="s">
        <v>1116</v>
      </c>
      <c r="B30" s="5">
        <f>VLOOKUP(A30,Dim!A:B,2)</f>
        <v>0</v>
      </c>
      <c r="C30">
        <v>5.38</v>
      </c>
      <c r="D30">
        <v>2.1800000000000002</v>
      </c>
      <c r="E30">
        <v>0.65800000000000003</v>
      </c>
      <c r="F30" s="1">
        <v>0.10979999999999999</v>
      </c>
      <c r="G30">
        <v>1.198</v>
      </c>
      <c r="H30">
        <v>4.76</v>
      </c>
      <c r="I30">
        <v>3.92</v>
      </c>
      <c r="J30">
        <v>9.27</v>
      </c>
      <c r="K30">
        <v>2.95</v>
      </c>
      <c r="L30">
        <v>2.5499999999999998</v>
      </c>
      <c r="M30" s="1">
        <v>0.16769999999999999</v>
      </c>
      <c r="N30" s="1">
        <v>0.123</v>
      </c>
      <c r="O30">
        <v>1.76</v>
      </c>
      <c r="P30" s="1">
        <v>0.4456</v>
      </c>
      <c r="Q30" s="1">
        <v>0.40570000000000001</v>
      </c>
      <c r="R30">
        <v>255.86</v>
      </c>
      <c r="S30" s="3">
        <v>64259000</v>
      </c>
      <c r="T30">
        <v>0</v>
      </c>
      <c r="U30" s="1">
        <v>0.3201</v>
      </c>
      <c r="V30" s="4">
        <f t="shared" si="0"/>
        <v>9.1500000000000001E-3</v>
      </c>
      <c r="W30" s="5">
        <f t="shared" si="1"/>
        <v>0</v>
      </c>
      <c r="X30" t="e">
        <f t="shared" si="2"/>
        <v>#DIV/0!</v>
      </c>
      <c r="Y30" s="5" t="e">
        <f t="shared" si="3"/>
        <v>#DIV/0!</v>
      </c>
      <c r="Z30" s="5" t="e">
        <f t="shared" si="4"/>
        <v>#DIV/0!</v>
      </c>
    </row>
    <row r="31" spans="1:26" x14ac:dyDescent="0.3">
      <c r="A31" t="s">
        <v>1499</v>
      </c>
      <c r="B31" s="5">
        <f>VLOOKUP(A31,Dim!A:B,2)</f>
        <v>5.74</v>
      </c>
      <c r="C31">
        <v>30.09</v>
      </c>
      <c r="D31">
        <v>0.35</v>
      </c>
      <c r="E31">
        <v>0.10299999999999999</v>
      </c>
      <c r="F31" s="1">
        <v>3.15E-2</v>
      </c>
      <c r="G31">
        <v>9.4E-2</v>
      </c>
      <c r="H31">
        <v>0.28999999999999998</v>
      </c>
      <c r="I31">
        <v>3.05</v>
      </c>
      <c r="J31">
        <v>1.61</v>
      </c>
      <c r="K31">
        <v>10.57</v>
      </c>
      <c r="L31">
        <v>8.8699999999999992</v>
      </c>
      <c r="M31" s="1">
        <v>3.3700000000000001E-2</v>
      </c>
      <c r="N31" s="1">
        <v>6.1999999999999998E-3</v>
      </c>
      <c r="O31">
        <v>1.83</v>
      </c>
      <c r="P31" s="1">
        <v>4.6300000000000001E-2</v>
      </c>
      <c r="Q31" s="1">
        <v>1.17E-2</v>
      </c>
      <c r="R31">
        <v>327.39999999999998</v>
      </c>
      <c r="S31" s="3">
        <v>603273000</v>
      </c>
      <c r="T31">
        <v>2.02</v>
      </c>
      <c r="U31" s="1">
        <v>3.7199999999999997E-2</v>
      </c>
      <c r="V31" s="4">
        <f t="shared" si="0"/>
        <v>2.6250000000000002E-3</v>
      </c>
      <c r="W31" s="5">
        <f t="shared" si="1"/>
        <v>1.5067500000000001E-2</v>
      </c>
      <c r="X31">
        <f t="shared" si="2"/>
        <v>382</v>
      </c>
      <c r="Y31" s="5">
        <f t="shared" si="3"/>
        <v>2192.6800000000003</v>
      </c>
      <c r="Z31" s="5">
        <f t="shared" si="4"/>
        <v>5.7557850000000004</v>
      </c>
    </row>
    <row r="32" spans="1:26" x14ac:dyDescent="0.3">
      <c r="A32" t="s">
        <v>1495</v>
      </c>
      <c r="B32" s="5">
        <f>VLOOKUP(A32,Dim!A:B,2)</f>
        <v>58</v>
      </c>
      <c r="C32">
        <v>27.84</v>
      </c>
      <c r="D32">
        <v>1.75</v>
      </c>
      <c r="E32">
        <v>1.661</v>
      </c>
      <c r="F32" s="1">
        <v>1.01E-2</v>
      </c>
      <c r="G32">
        <v>1.1679999999999999</v>
      </c>
      <c r="H32">
        <v>4.3</v>
      </c>
      <c r="I32">
        <v>16.420000000000002</v>
      </c>
      <c r="J32">
        <v>7.46</v>
      </c>
      <c r="K32">
        <v>16.010000000000002</v>
      </c>
      <c r="L32">
        <v>10.06</v>
      </c>
      <c r="M32" s="1">
        <v>0.1012</v>
      </c>
      <c r="N32" s="1">
        <v>5.9400000000000001E-2</v>
      </c>
      <c r="O32">
        <v>2.25</v>
      </c>
      <c r="P32" s="1">
        <v>9.0999999999999998E-2</v>
      </c>
      <c r="Q32" s="1">
        <v>6.2899999999999998E-2</v>
      </c>
      <c r="R32" s="3">
        <v>18378000</v>
      </c>
      <c r="S32" s="3">
        <v>4133620000</v>
      </c>
      <c r="T32">
        <v>0.17</v>
      </c>
      <c r="U32" s="1">
        <v>1.83E-2</v>
      </c>
      <c r="V32" s="4">
        <f t="shared" si="0"/>
        <v>8.4166666666666667E-4</v>
      </c>
      <c r="W32" s="5">
        <f t="shared" si="1"/>
        <v>4.8816666666666668E-2</v>
      </c>
      <c r="X32">
        <f t="shared" si="2"/>
        <v>1190</v>
      </c>
      <c r="Y32" s="5">
        <f t="shared" si="3"/>
        <v>69020</v>
      </c>
      <c r="Z32" s="5">
        <f t="shared" si="4"/>
        <v>58.091833333333334</v>
      </c>
    </row>
    <row r="33" spans="1:26" x14ac:dyDescent="0.3">
      <c r="A33" t="s">
        <v>1494</v>
      </c>
      <c r="B33" s="5">
        <f>VLOOKUP(A33,Dim!A:B,2)</f>
        <v>29.49</v>
      </c>
      <c r="C33">
        <v>27.66</v>
      </c>
      <c r="D33">
        <v>5.07</v>
      </c>
      <c r="E33">
        <v>0.82599999999999996</v>
      </c>
      <c r="F33" s="1">
        <v>1.83E-2</v>
      </c>
      <c r="G33">
        <v>1.468</v>
      </c>
      <c r="H33">
        <v>8.9600000000000009</v>
      </c>
      <c r="I33">
        <v>14.33</v>
      </c>
      <c r="J33">
        <v>-10.96</v>
      </c>
      <c r="K33">
        <v>15.64</v>
      </c>
      <c r="L33">
        <v>8.69</v>
      </c>
      <c r="M33" s="1">
        <v>5.7599999999999998E-2</v>
      </c>
      <c r="N33" s="1">
        <v>3.0200000000000001E-2</v>
      </c>
      <c r="O33">
        <v>1.4</v>
      </c>
      <c r="P33" s="1">
        <v>0.1406</v>
      </c>
      <c r="Q33" s="1">
        <v>0.18340000000000001</v>
      </c>
      <c r="R33" s="3">
        <v>179345000</v>
      </c>
      <c r="S33" s="3">
        <v>6671830000</v>
      </c>
      <c r="T33">
        <v>0.55000000000000004</v>
      </c>
      <c r="U33" s="1">
        <v>0.16800000000000001</v>
      </c>
      <c r="V33" s="4">
        <f t="shared" si="0"/>
        <v>1.5250000000000001E-3</v>
      </c>
      <c r="W33" s="5">
        <f t="shared" si="1"/>
        <v>4.4972249999999998E-2</v>
      </c>
      <c r="X33">
        <f t="shared" si="2"/>
        <v>657</v>
      </c>
      <c r="Y33" s="5">
        <f t="shared" si="3"/>
        <v>19374.93</v>
      </c>
      <c r="Z33" s="5">
        <f t="shared" si="4"/>
        <v>29.54676825</v>
      </c>
    </row>
    <row r="34" spans="1:26" x14ac:dyDescent="0.3">
      <c r="A34" t="s">
        <v>1491</v>
      </c>
      <c r="B34" s="5">
        <f>VLOOKUP(A34,Dim!A:B,2)</f>
        <v>58</v>
      </c>
      <c r="C34">
        <v>27.36</v>
      </c>
      <c r="D34">
        <v>1.72</v>
      </c>
      <c r="E34">
        <v>1.633</v>
      </c>
      <c r="F34" s="1">
        <v>9.2999999999999992E-3</v>
      </c>
      <c r="G34">
        <v>1.1479999999999999</v>
      </c>
      <c r="H34">
        <v>4.22</v>
      </c>
      <c r="I34">
        <v>16.14</v>
      </c>
      <c r="J34">
        <v>7.33</v>
      </c>
      <c r="K34">
        <v>15.73</v>
      </c>
      <c r="L34">
        <v>9.8800000000000008</v>
      </c>
      <c r="M34" s="1">
        <v>0.1012</v>
      </c>
      <c r="N34" s="1">
        <v>5.9400000000000001E-2</v>
      </c>
      <c r="O34">
        <v>2.25</v>
      </c>
      <c r="P34" s="1">
        <v>9.0999999999999998E-2</v>
      </c>
      <c r="Q34" s="1">
        <v>6.2899999999999998E-2</v>
      </c>
      <c r="R34" s="3">
        <v>91733</v>
      </c>
      <c r="S34" s="3">
        <v>4133620000</v>
      </c>
      <c r="T34">
        <v>0.17</v>
      </c>
      <c r="U34" s="1">
        <v>1.83E-2</v>
      </c>
      <c r="V34" s="4">
        <f t="shared" si="0"/>
        <v>7.7499999999999997E-4</v>
      </c>
      <c r="W34" s="5">
        <f t="shared" si="1"/>
        <v>4.4949999999999997E-2</v>
      </c>
      <c r="X34">
        <f t="shared" si="2"/>
        <v>1292</v>
      </c>
      <c r="Y34" s="5">
        <f t="shared" si="3"/>
        <v>74936</v>
      </c>
      <c r="Z34" s="5">
        <f t="shared" si="4"/>
        <v>58.075399999999995</v>
      </c>
    </row>
    <row r="35" spans="1:26" x14ac:dyDescent="0.3">
      <c r="A35" t="s">
        <v>1488</v>
      </c>
      <c r="B35" s="5">
        <f>VLOOKUP(A35,Dim!A:B,2)</f>
        <v>22.54</v>
      </c>
      <c r="C35">
        <v>27</v>
      </c>
      <c r="D35">
        <v>0.85</v>
      </c>
      <c r="E35">
        <v>0.84299999999999997</v>
      </c>
      <c r="F35" s="1">
        <v>1.38E-2</v>
      </c>
      <c r="G35">
        <v>0.318</v>
      </c>
      <c r="H35">
        <v>-9.82</v>
      </c>
      <c r="I35">
        <v>6.23</v>
      </c>
      <c r="J35">
        <v>-0.68</v>
      </c>
      <c r="K35">
        <v>14.12</v>
      </c>
      <c r="L35">
        <v>4.4000000000000004</v>
      </c>
      <c r="M35" s="1">
        <v>0.13519999999999999</v>
      </c>
      <c r="N35" s="1">
        <v>3.1399999999999997E-2</v>
      </c>
      <c r="O35">
        <v>0.83</v>
      </c>
      <c r="P35" s="1">
        <v>5.8000000000000003E-2</v>
      </c>
      <c r="Q35" s="1">
        <v>3.1399999999999997E-2</v>
      </c>
      <c r="R35" s="3">
        <v>571594</v>
      </c>
      <c r="S35" s="3">
        <v>1538280000</v>
      </c>
      <c r="T35">
        <v>1.3</v>
      </c>
      <c r="U35" s="1">
        <v>0</v>
      </c>
      <c r="V35" s="4">
        <f t="shared" si="0"/>
        <v>1.15E-3</v>
      </c>
      <c r="W35" s="5">
        <f t="shared" si="1"/>
        <v>2.5921E-2</v>
      </c>
      <c r="X35">
        <f t="shared" si="2"/>
        <v>871</v>
      </c>
      <c r="Y35" s="5">
        <f t="shared" si="3"/>
        <v>19632.34</v>
      </c>
      <c r="Z35" s="5">
        <f t="shared" si="4"/>
        <v>22.577190999999999</v>
      </c>
    </row>
    <row r="36" spans="1:26" x14ac:dyDescent="0.3">
      <c r="A36" t="s">
        <v>1482</v>
      </c>
      <c r="B36" s="5">
        <f>VLOOKUP(A36,Dim!A:B,2)</f>
        <v>29.49</v>
      </c>
      <c r="C36">
        <v>25.17</v>
      </c>
      <c r="D36">
        <v>2.02</v>
      </c>
      <c r="E36">
        <v>1.431</v>
      </c>
      <c r="F36" s="1">
        <v>6.1000000000000004E-3</v>
      </c>
      <c r="G36">
        <v>1.0129999999999999</v>
      </c>
      <c r="H36">
        <v>1.99</v>
      </c>
      <c r="I36">
        <v>13.72</v>
      </c>
      <c r="J36">
        <v>5.0199999999999996</v>
      </c>
      <c r="K36">
        <v>16.54</v>
      </c>
      <c r="L36">
        <v>13.82</v>
      </c>
      <c r="M36" s="1">
        <v>0.1043</v>
      </c>
      <c r="N36" s="1">
        <v>5.6800000000000003E-2</v>
      </c>
      <c r="O36">
        <v>3.69</v>
      </c>
      <c r="P36" s="1">
        <v>9.0499999999999997E-2</v>
      </c>
      <c r="Q36" s="1">
        <v>8.0100000000000005E-2</v>
      </c>
      <c r="R36">
        <v>0</v>
      </c>
      <c r="S36" s="3">
        <v>559560000</v>
      </c>
      <c r="T36">
        <v>0.69</v>
      </c>
      <c r="U36" s="1">
        <v>4.87E-2</v>
      </c>
      <c r="V36" s="4">
        <f t="shared" si="0"/>
        <v>5.083333333333334E-4</v>
      </c>
      <c r="W36" s="5">
        <f t="shared" si="1"/>
        <v>1.4990750000000001E-2</v>
      </c>
      <c r="X36">
        <f t="shared" si="2"/>
        <v>1969</v>
      </c>
      <c r="Y36" s="5">
        <f t="shared" si="3"/>
        <v>58065.81</v>
      </c>
      <c r="Z36" s="5">
        <f t="shared" si="4"/>
        <v>29.516786750000001</v>
      </c>
    </row>
    <row r="37" spans="1:26" x14ac:dyDescent="0.3">
      <c r="A37" t="s">
        <v>1479</v>
      </c>
      <c r="B37" s="5">
        <f>VLOOKUP(A37,Dim!A:B,2)</f>
        <v>29.95</v>
      </c>
      <c r="C37">
        <v>24.46</v>
      </c>
      <c r="D37">
        <v>2.66</v>
      </c>
      <c r="E37">
        <v>0.61899999999999999</v>
      </c>
      <c r="F37" s="1">
        <v>3.3999999999999998E-3</v>
      </c>
      <c r="G37">
        <v>1.0669999999999999</v>
      </c>
      <c r="H37">
        <v>3.75</v>
      </c>
      <c r="I37">
        <v>52.11</v>
      </c>
      <c r="J37">
        <v>-110.34</v>
      </c>
      <c r="K37">
        <v>65.77</v>
      </c>
      <c r="L37">
        <v>26.15</v>
      </c>
      <c r="M37" s="1">
        <v>1.1900000000000001E-2</v>
      </c>
      <c r="N37" s="1">
        <v>2.53E-2</v>
      </c>
      <c r="O37">
        <v>1.94</v>
      </c>
      <c r="P37" s="1">
        <v>2.52E-2</v>
      </c>
      <c r="Q37" s="1">
        <v>0.1087</v>
      </c>
      <c r="R37">
        <v>0</v>
      </c>
      <c r="S37" s="3">
        <v>226327000</v>
      </c>
      <c r="T37">
        <v>0.99</v>
      </c>
      <c r="U37" s="1">
        <v>5.6899999999999999E-2</v>
      </c>
      <c r="V37" s="4">
        <f t="shared" si="0"/>
        <v>2.833333333333333E-4</v>
      </c>
      <c r="W37" s="5">
        <f t="shared" si="1"/>
        <v>8.4858333333333313E-3</v>
      </c>
      <c r="X37">
        <f t="shared" si="2"/>
        <v>3531</v>
      </c>
      <c r="Y37" s="5">
        <f t="shared" si="3"/>
        <v>105753.45</v>
      </c>
      <c r="Z37" s="5">
        <f t="shared" si="4"/>
        <v>29.963477499999993</v>
      </c>
    </row>
    <row r="38" spans="1:26" x14ac:dyDescent="0.3">
      <c r="A38" t="s">
        <v>1478</v>
      </c>
      <c r="B38" s="5">
        <f>VLOOKUP(A38,Dim!A:B,2)</f>
        <v>3.95</v>
      </c>
      <c r="C38">
        <v>24.08</v>
      </c>
      <c r="D38">
        <v>5.07</v>
      </c>
      <c r="E38">
        <v>0</v>
      </c>
      <c r="F38" s="1">
        <v>1.2500000000000001E-2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 s="1">
        <v>0</v>
      </c>
      <c r="N38" s="1">
        <v>0</v>
      </c>
      <c r="O38">
        <v>0</v>
      </c>
      <c r="P38" s="1">
        <v>0</v>
      </c>
      <c r="Q38" s="1">
        <v>0.21049999999999999</v>
      </c>
      <c r="R38" s="3">
        <v>92742.7</v>
      </c>
      <c r="S38" s="3">
        <v>63703300000</v>
      </c>
      <c r="T38">
        <v>0</v>
      </c>
      <c r="U38" s="1">
        <v>0.1391</v>
      </c>
      <c r="V38" s="4">
        <f t="shared" si="0"/>
        <v>1.0416666666666667E-3</v>
      </c>
      <c r="W38" s="5">
        <f t="shared" si="1"/>
        <v>4.1145833333333338E-3</v>
      </c>
      <c r="X38">
        <f t="shared" si="2"/>
        <v>961</v>
      </c>
      <c r="Y38" s="5">
        <f t="shared" si="3"/>
        <v>3795.9500000000003</v>
      </c>
      <c r="Z38" s="5">
        <f t="shared" si="4"/>
        <v>3.9541145833333338</v>
      </c>
    </row>
    <row r="39" spans="1:26" x14ac:dyDescent="0.3">
      <c r="A39" t="s">
        <v>1474</v>
      </c>
      <c r="B39" s="5">
        <f>VLOOKUP(A39,Dim!A:B,2)</f>
        <v>29.49</v>
      </c>
      <c r="C39">
        <v>23.83</v>
      </c>
      <c r="D39">
        <v>3.86</v>
      </c>
      <c r="E39">
        <v>1.8560000000000001</v>
      </c>
      <c r="F39" s="1">
        <v>1.9E-2</v>
      </c>
      <c r="G39">
        <v>0.92700000000000005</v>
      </c>
      <c r="H39">
        <v>2.73</v>
      </c>
      <c r="I39">
        <v>11.67</v>
      </c>
      <c r="J39">
        <v>-4.2699999999999996</v>
      </c>
      <c r="K39">
        <v>11.37</v>
      </c>
      <c r="L39">
        <v>9.4</v>
      </c>
      <c r="M39" s="1">
        <v>0.159</v>
      </c>
      <c r="N39" s="1">
        <v>7.9899999999999999E-2</v>
      </c>
      <c r="O39">
        <v>2.89</v>
      </c>
      <c r="P39" s="1">
        <v>0.1321</v>
      </c>
      <c r="Q39" s="1">
        <v>0.16220000000000001</v>
      </c>
      <c r="R39" s="3">
        <v>168743000</v>
      </c>
      <c r="S39" s="3">
        <v>25362500000</v>
      </c>
      <c r="T39">
        <v>1.5</v>
      </c>
      <c r="U39" s="1">
        <v>0.34549999999999997</v>
      </c>
      <c r="V39" s="4">
        <f t="shared" si="0"/>
        <v>1.5833333333333333E-3</v>
      </c>
      <c r="W39" s="5">
        <f t="shared" si="1"/>
        <v>4.6692499999999998E-2</v>
      </c>
      <c r="X39">
        <f t="shared" si="2"/>
        <v>633</v>
      </c>
      <c r="Y39" s="5">
        <f t="shared" si="3"/>
        <v>18667.169999999998</v>
      </c>
      <c r="Z39" s="5">
        <f t="shared" si="4"/>
        <v>29.556352499999999</v>
      </c>
    </row>
    <row r="40" spans="1:26" x14ac:dyDescent="0.3">
      <c r="A40" t="s">
        <v>1470</v>
      </c>
      <c r="B40" s="5">
        <f>VLOOKUP(A40,Dim!A:B,2)</f>
        <v>29.95</v>
      </c>
      <c r="C40">
        <v>22.77</v>
      </c>
      <c r="D40">
        <v>1.32</v>
      </c>
      <c r="E40">
        <v>1.5589999999999999</v>
      </c>
      <c r="F40" s="1">
        <v>2.3E-3</v>
      </c>
      <c r="G40">
        <v>0.45800000000000002</v>
      </c>
      <c r="H40">
        <v>3.97</v>
      </c>
      <c r="I40">
        <v>5.54</v>
      </c>
      <c r="J40">
        <v>-1.1200000000000001</v>
      </c>
      <c r="K40">
        <v>8.93</v>
      </c>
      <c r="L40">
        <v>5.18</v>
      </c>
      <c r="M40" s="1">
        <v>0.28160000000000002</v>
      </c>
      <c r="N40" s="1">
        <v>7.5499999999999998E-2</v>
      </c>
      <c r="O40">
        <v>1.93</v>
      </c>
      <c r="P40" s="1">
        <v>0.1019</v>
      </c>
      <c r="Q40" s="1">
        <v>5.79E-2</v>
      </c>
      <c r="R40" s="3">
        <v>9081460</v>
      </c>
      <c r="S40" s="3">
        <v>1386660000</v>
      </c>
      <c r="T40">
        <v>1.29</v>
      </c>
      <c r="U40" s="1">
        <v>0.28789999999999999</v>
      </c>
      <c r="V40" s="4">
        <f t="shared" si="0"/>
        <v>1.9166666666666667E-4</v>
      </c>
      <c r="W40" s="5">
        <f t="shared" si="1"/>
        <v>5.7404166666666671E-3</v>
      </c>
      <c r="X40">
        <f t="shared" si="2"/>
        <v>5219</v>
      </c>
      <c r="Y40" s="5">
        <f t="shared" si="3"/>
        <v>156309.04999999999</v>
      </c>
      <c r="Z40" s="5">
        <f t="shared" si="4"/>
        <v>29.959234583333334</v>
      </c>
    </row>
    <row r="41" spans="1:26" x14ac:dyDescent="0.3">
      <c r="A41" t="s">
        <v>1464</v>
      </c>
      <c r="B41" s="5">
        <f>VLOOKUP(A41,Dim!A:B,2)</f>
        <v>29.95</v>
      </c>
      <c r="C41">
        <v>21.95</v>
      </c>
      <c r="D41">
        <v>0.62</v>
      </c>
      <c r="E41">
        <v>0.50700000000000001</v>
      </c>
      <c r="F41" s="1">
        <v>1.04E-2</v>
      </c>
      <c r="G41">
        <v>0.23499999999999999</v>
      </c>
      <c r="H41">
        <v>4.72</v>
      </c>
      <c r="I41">
        <v>8</v>
      </c>
      <c r="J41">
        <v>-0.7</v>
      </c>
      <c r="K41">
        <v>17.739999999999998</v>
      </c>
      <c r="L41">
        <v>5.2</v>
      </c>
      <c r="M41" s="1">
        <v>6.3500000000000001E-2</v>
      </c>
      <c r="N41" s="1">
        <v>2.5499999999999998E-2</v>
      </c>
      <c r="O41">
        <v>1.22</v>
      </c>
      <c r="P41" s="1">
        <v>3.4500000000000003E-2</v>
      </c>
      <c r="Q41" s="1">
        <v>2.8299999999999999E-2</v>
      </c>
      <c r="R41" s="3">
        <v>13817700</v>
      </c>
      <c r="S41" s="3">
        <v>6806910000</v>
      </c>
      <c r="T41">
        <v>0.97</v>
      </c>
      <c r="U41" s="1">
        <v>9.5999999999999992E-3</v>
      </c>
      <c r="V41" s="4">
        <f t="shared" si="0"/>
        <v>8.6666666666666663E-4</v>
      </c>
      <c r="W41" s="5">
        <f t="shared" si="1"/>
        <v>2.5956666666666666E-2</v>
      </c>
      <c r="X41">
        <f t="shared" si="2"/>
        <v>1155</v>
      </c>
      <c r="Y41" s="5">
        <f t="shared" si="3"/>
        <v>34592.25</v>
      </c>
      <c r="Z41" s="5">
        <f t="shared" si="4"/>
        <v>29.979949999999999</v>
      </c>
    </row>
    <row r="42" spans="1:26" x14ac:dyDescent="0.3">
      <c r="A42" t="s">
        <v>1459</v>
      </c>
      <c r="B42" s="5">
        <f>VLOOKUP(A42,Dim!A:B,2)</f>
        <v>5.74</v>
      </c>
      <c r="C42">
        <v>20.41</v>
      </c>
      <c r="D42">
        <v>1.88</v>
      </c>
      <c r="E42">
        <v>5.1050000000000004</v>
      </c>
      <c r="F42" s="1">
        <v>0.1477</v>
      </c>
      <c r="G42">
        <v>0.92900000000000005</v>
      </c>
      <c r="H42">
        <v>-13.69</v>
      </c>
      <c r="I42">
        <v>12.11</v>
      </c>
      <c r="J42">
        <v>-3.13</v>
      </c>
      <c r="K42">
        <v>12.35</v>
      </c>
      <c r="L42">
        <v>8.3000000000000007</v>
      </c>
      <c r="M42" s="1">
        <v>0.42170000000000002</v>
      </c>
      <c r="N42" s="1">
        <v>0.25009999999999999</v>
      </c>
      <c r="O42">
        <v>0.76</v>
      </c>
      <c r="P42" s="1">
        <v>0.10929999999999999</v>
      </c>
      <c r="Q42" s="1">
        <v>9.2200000000000004E-2</v>
      </c>
      <c r="R42" s="3">
        <v>18356</v>
      </c>
      <c r="S42" s="3">
        <v>1756410000</v>
      </c>
      <c r="T42">
        <v>0.37</v>
      </c>
      <c r="U42" s="1">
        <v>-0.188</v>
      </c>
      <c r="V42" s="4">
        <f t="shared" si="0"/>
        <v>1.2308333333333333E-2</v>
      </c>
      <c r="W42" s="5">
        <f t="shared" si="1"/>
        <v>7.0649833333333328E-2</v>
      </c>
      <c r="X42">
        <f t="shared" si="2"/>
        <v>83</v>
      </c>
      <c r="Y42" s="5">
        <f t="shared" si="3"/>
        <v>476.42</v>
      </c>
      <c r="Z42" s="5">
        <f t="shared" si="4"/>
        <v>5.8639361666666661</v>
      </c>
    </row>
    <row r="43" spans="1:26" x14ac:dyDescent="0.3">
      <c r="A43" t="s">
        <v>1458</v>
      </c>
      <c r="B43" s="5">
        <f>VLOOKUP(A43,Dim!A:B,2)</f>
        <v>29.95</v>
      </c>
      <c r="C43">
        <v>20.39</v>
      </c>
      <c r="D43">
        <v>1.1399999999999999</v>
      </c>
      <c r="E43">
        <v>3.0960000000000001</v>
      </c>
      <c r="F43" s="1">
        <v>6.6000000000000003E-2</v>
      </c>
      <c r="G43">
        <v>0.49199999999999999</v>
      </c>
      <c r="H43">
        <v>5.84</v>
      </c>
      <c r="I43">
        <v>9.0299999999999994</v>
      </c>
      <c r="J43">
        <v>-1.27</v>
      </c>
      <c r="K43">
        <v>11.74</v>
      </c>
      <c r="L43">
        <v>9.1300000000000008</v>
      </c>
      <c r="M43" s="1">
        <v>0.3427</v>
      </c>
      <c r="N43" s="1">
        <v>0.15179999999999999</v>
      </c>
      <c r="O43">
        <v>1.86</v>
      </c>
      <c r="P43" s="1">
        <v>6.1600000000000002E-2</v>
      </c>
      <c r="Q43" s="1">
        <v>5.5899999999999998E-2</v>
      </c>
      <c r="R43" s="3">
        <v>70314600</v>
      </c>
      <c r="S43" s="3">
        <v>118707000000</v>
      </c>
      <c r="T43">
        <v>0.59</v>
      </c>
      <c r="U43" s="1">
        <v>8.8700000000000001E-2</v>
      </c>
      <c r="V43" s="4">
        <f t="shared" si="0"/>
        <v>5.5000000000000005E-3</v>
      </c>
      <c r="W43" s="5">
        <f t="shared" si="1"/>
        <v>0.16472500000000001</v>
      </c>
      <c r="X43">
        <f t="shared" si="2"/>
        <v>183</v>
      </c>
      <c r="Y43" s="5">
        <f t="shared" si="3"/>
        <v>5480.8499999999995</v>
      </c>
      <c r="Z43" s="5">
        <f t="shared" si="4"/>
        <v>30.144675000000003</v>
      </c>
    </row>
    <row r="44" spans="1:26" x14ac:dyDescent="0.3">
      <c r="A44" t="s">
        <v>1457</v>
      </c>
      <c r="B44" s="5">
        <f>VLOOKUP(A44,Dim!A:B,2)</f>
        <v>5.74</v>
      </c>
      <c r="C44">
        <v>20.27</v>
      </c>
      <c r="D44">
        <v>1.93</v>
      </c>
      <c r="E44">
        <v>4.6669999999999998</v>
      </c>
      <c r="F44" s="1">
        <v>2.8999999999999998E-3</v>
      </c>
      <c r="G44">
        <v>0.46800000000000003</v>
      </c>
      <c r="H44">
        <v>2.34</v>
      </c>
      <c r="I44">
        <v>12.96</v>
      </c>
      <c r="J44">
        <v>-1.68</v>
      </c>
      <c r="K44">
        <v>20.350000000000001</v>
      </c>
      <c r="L44">
        <v>12.83</v>
      </c>
      <c r="M44" s="1">
        <v>0.36020000000000002</v>
      </c>
      <c r="N44" s="1">
        <v>0.46310000000000001</v>
      </c>
      <c r="O44">
        <v>5.31</v>
      </c>
      <c r="P44" s="1">
        <v>4.5600000000000002E-2</v>
      </c>
      <c r="Q44" s="1">
        <v>9.5100000000000004E-2</v>
      </c>
      <c r="R44" s="3">
        <v>7666510</v>
      </c>
      <c r="S44" s="3">
        <v>1762140000</v>
      </c>
      <c r="T44">
        <v>1.94</v>
      </c>
      <c r="U44" s="1">
        <v>1.01E-2</v>
      </c>
      <c r="V44" s="4">
        <f t="shared" si="0"/>
        <v>2.4166666666666664E-4</v>
      </c>
      <c r="W44" s="5">
        <f t="shared" si="1"/>
        <v>1.3871666666666665E-3</v>
      </c>
      <c r="X44">
        <f t="shared" si="2"/>
        <v>4139</v>
      </c>
      <c r="Y44" s="5">
        <f t="shared" si="3"/>
        <v>23757.86</v>
      </c>
      <c r="Z44" s="5">
        <f t="shared" si="4"/>
        <v>5.7414828333333325</v>
      </c>
    </row>
    <row r="45" spans="1:26" x14ac:dyDescent="0.3">
      <c r="A45" t="s">
        <v>1298</v>
      </c>
      <c r="B45" s="5">
        <f>VLOOKUP(A45,Dim!A:B,2)</f>
        <v>0</v>
      </c>
      <c r="C45">
        <v>10.08</v>
      </c>
      <c r="D45">
        <v>2.85</v>
      </c>
      <c r="E45">
        <v>1.4179999999999999</v>
      </c>
      <c r="F45" s="1">
        <v>0.1237</v>
      </c>
      <c r="G45">
        <v>1.0640000000000001</v>
      </c>
      <c r="H45">
        <v>3.94</v>
      </c>
      <c r="I45">
        <v>8.83</v>
      </c>
      <c r="J45">
        <v>-4.9000000000000004</v>
      </c>
      <c r="K45">
        <v>10</v>
      </c>
      <c r="L45">
        <v>7.33</v>
      </c>
      <c r="M45" s="1">
        <v>0.1605</v>
      </c>
      <c r="N45" s="1">
        <v>0.14030000000000001</v>
      </c>
      <c r="O45">
        <v>2.96</v>
      </c>
      <c r="P45" s="1">
        <v>0.16800000000000001</v>
      </c>
      <c r="Q45" s="1">
        <v>0.28310000000000002</v>
      </c>
      <c r="R45" s="3">
        <v>14810600</v>
      </c>
      <c r="S45" s="3">
        <v>2809930000</v>
      </c>
      <c r="T45">
        <v>1</v>
      </c>
      <c r="U45" s="1">
        <v>-2.2599999999999999E-2</v>
      </c>
      <c r="V45" s="4">
        <f t="shared" si="0"/>
        <v>1.0308333333333334E-2</v>
      </c>
      <c r="W45" s="5">
        <f t="shared" si="1"/>
        <v>0</v>
      </c>
      <c r="X45" t="e">
        <f t="shared" si="2"/>
        <v>#DIV/0!</v>
      </c>
      <c r="Y45" s="5" t="e">
        <f t="shared" si="3"/>
        <v>#DIV/0!</v>
      </c>
      <c r="Z45" s="5" t="e">
        <f t="shared" si="4"/>
        <v>#DIV/0!</v>
      </c>
    </row>
    <row r="46" spans="1:26" x14ac:dyDescent="0.3">
      <c r="A46" t="s">
        <v>1455</v>
      </c>
      <c r="B46" s="5">
        <f>VLOOKUP(A46,Dim!A:B,2)</f>
        <v>5.74</v>
      </c>
      <c r="C46">
        <v>20.02</v>
      </c>
      <c r="D46">
        <v>1.85</v>
      </c>
      <c r="E46">
        <v>5.0069999999999997</v>
      </c>
      <c r="F46" s="1">
        <v>0.15060000000000001</v>
      </c>
      <c r="G46">
        <v>0.91100000000000003</v>
      </c>
      <c r="H46">
        <v>-13.43</v>
      </c>
      <c r="I46">
        <v>11.87</v>
      </c>
      <c r="J46">
        <v>-3.07</v>
      </c>
      <c r="K46">
        <v>12.12</v>
      </c>
      <c r="L46">
        <v>8.14</v>
      </c>
      <c r="M46" s="1">
        <v>0.42170000000000002</v>
      </c>
      <c r="N46" s="1">
        <v>0.25009999999999999</v>
      </c>
      <c r="O46">
        <v>0.76</v>
      </c>
      <c r="P46" s="1">
        <v>0.10929999999999999</v>
      </c>
      <c r="Q46" s="1">
        <v>9.2200000000000004E-2</v>
      </c>
      <c r="R46" s="3">
        <v>3177.77</v>
      </c>
      <c r="S46" s="3">
        <v>1756410000</v>
      </c>
      <c r="T46">
        <v>0.37</v>
      </c>
      <c r="U46" s="1">
        <v>-0.188</v>
      </c>
      <c r="V46" s="4">
        <f t="shared" si="0"/>
        <v>1.255E-2</v>
      </c>
      <c r="W46" s="5">
        <f t="shared" si="1"/>
        <v>7.2037000000000004E-2</v>
      </c>
      <c r="X46">
        <f t="shared" si="2"/>
        <v>81</v>
      </c>
      <c r="Y46" s="5">
        <f t="shared" si="3"/>
        <v>464.94</v>
      </c>
      <c r="Z46" s="5">
        <f t="shared" si="4"/>
        <v>5.8349970000000004</v>
      </c>
    </row>
    <row r="47" spans="1:26" x14ac:dyDescent="0.3">
      <c r="A47" t="s">
        <v>1542</v>
      </c>
      <c r="B47" s="5">
        <f>VLOOKUP(A47,Dim!A:B,2)</f>
        <v>0</v>
      </c>
      <c r="C47">
        <v>48.18</v>
      </c>
      <c r="D47">
        <v>2.4</v>
      </c>
      <c r="E47">
        <v>8.7560000000000002</v>
      </c>
      <c r="F47" s="1">
        <v>7.4399999999999994E-2</v>
      </c>
      <c r="G47">
        <v>1.06</v>
      </c>
      <c r="H47">
        <v>-43.05</v>
      </c>
      <c r="I47">
        <v>34.54</v>
      </c>
      <c r="J47">
        <v>-3.29</v>
      </c>
      <c r="K47">
        <v>33.07</v>
      </c>
      <c r="L47">
        <v>10.97</v>
      </c>
      <c r="M47" s="1">
        <v>0.2535</v>
      </c>
      <c r="N47" s="1">
        <v>0.1817</v>
      </c>
      <c r="O47">
        <v>0.91</v>
      </c>
      <c r="P47" s="1">
        <v>3.7199999999999997E-2</v>
      </c>
      <c r="Q47" s="1">
        <v>4.99E-2</v>
      </c>
      <c r="R47" s="3">
        <v>139547000</v>
      </c>
      <c r="S47" s="3">
        <v>25125500000</v>
      </c>
      <c r="T47">
        <v>0.12</v>
      </c>
      <c r="U47" s="1">
        <v>-0.17710000000000001</v>
      </c>
      <c r="V47" s="4">
        <f t="shared" si="0"/>
        <v>6.1999999999999998E-3</v>
      </c>
      <c r="W47" s="5">
        <f t="shared" si="1"/>
        <v>0</v>
      </c>
      <c r="X47" t="e">
        <f t="shared" si="2"/>
        <v>#DIV/0!</v>
      </c>
      <c r="Y47" s="5" t="e">
        <f t="shared" si="3"/>
        <v>#DIV/0!</v>
      </c>
      <c r="Z47" s="5" t="e">
        <f t="shared" si="4"/>
        <v>#DIV/0!</v>
      </c>
    </row>
    <row r="48" spans="1:26" x14ac:dyDescent="0.3">
      <c r="A48" t="s">
        <v>1453</v>
      </c>
      <c r="B48" s="5">
        <f>VLOOKUP(A48,Dim!A:B,2)</f>
        <v>5.74</v>
      </c>
      <c r="C48">
        <v>19.5</v>
      </c>
      <c r="D48">
        <v>3.39</v>
      </c>
      <c r="E48">
        <v>0.76200000000000001</v>
      </c>
      <c r="F48" s="1">
        <v>1.7299999999999999E-2</v>
      </c>
      <c r="G48">
        <v>0.89100000000000001</v>
      </c>
      <c r="H48">
        <v>3.02</v>
      </c>
      <c r="I48">
        <v>9.74</v>
      </c>
      <c r="J48">
        <v>-4.0599999999999996</v>
      </c>
      <c r="K48">
        <v>11.48</v>
      </c>
      <c r="L48">
        <v>8.58</v>
      </c>
      <c r="M48" s="1">
        <v>7.8299999999999995E-2</v>
      </c>
      <c r="N48" s="1">
        <v>3.9699999999999999E-2</v>
      </c>
      <c r="O48">
        <v>2.33</v>
      </c>
      <c r="P48" s="1">
        <v>0.1168</v>
      </c>
      <c r="Q48" s="1">
        <v>0.17380000000000001</v>
      </c>
      <c r="R48" s="3">
        <v>40087000</v>
      </c>
      <c r="S48" s="3">
        <v>3737480000</v>
      </c>
      <c r="T48">
        <v>1.33</v>
      </c>
      <c r="U48" s="1">
        <v>0.2732</v>
      </c>
      <c r="V48" s="4">
        <f t="shared" si="0"/>
        <v>1.4416666666666666E-3</v>
      </c>
      <c r="W48" s="5">
        <f t="shared" si="1"/>
        <v>8.2751666666666668E-3</v>
      </c>
      <c r="X48">
        <f t="shared" si="2"/>
        <v>695</v>
      </c>
      <c r="Y48" s="5">
        <f t="shared" si="3"/>
        <v>3989.3</v>
      </c>
      <c r="Z48" s="5">
        <f t="shared" si="4"/>
        <v>5.7512408333333331</v>
      </c>
    </row>
    <row r="49" spans="1:26" x14ac:dyDescent="0.3">
      <c r="A49" t="s">
        <v>1295</v>
      </c>
      <c r="B49" s="5">
        <f>VLOOKUP(A49,Dim!A:B,2)</f>
        <v>0</v>
      </c>
      <c r="C49">
        <v>9.98</v>
      </c>
      <c r="D49">
        <v>2.82</v>
      </c>
      <c r="E49">
        <v>1.4039999999999999</v>
      </c>
      <c r="F49" s="1">
        <v>0.125</v>
      </c>
      <c r="G49">
        <v>1.0529999999999999</v>
      </c>
      <c r="H49">
        <v>3.9</v>
      </c>
      <c r="I49">
        <v>8.74</v>
      </c>
      <c r="J49">
        <v>-4.8499999999999996</v>
      </c>
      <c r="K49">
        <v>9.91</v>
      </c>
      <c r="L49">
        <v>7.27</v>
      </c>
      <c r="M49" s="1">
        <v>0.1605</v>
      </c>
      <c r="N49" s="1">
        <v>0.14030000000000001</v>
      </c>
      <c r="O49">
        <v>2.96</v>
      </c>
      <c r="P49" s="1">
        <v>0.16800000000000001</v>
      </c>
      <c r="Q49" s="1">
        <v>0.28310000000000002</v>
      </c>
      <c r="R49" s="3">
        <v>21415.9</v>
      </c>
      <c r="S49" s="3">
        <v>2809930000</v>
      </c>
      <c r="T49">
        <v>1</v>
      </c>
      <c r="U49" s="1">
        <v>-2.2599999999999999E-2</v>
      </c>
      <c r="V49" s="4">
        <f t="shared" si="0"/>
        <v>1.0416666666666666E-2</v>
      </c>
      <c r="W49" s="5">
        <f t="shared" si="1"/>
        <v>0</v>
      </c>
      <c r="X49" t="e">
        <f t="shared" si="2"/>
        <v>#DIV/0!</v>
      </c>
      <c r="Y49" s="5" t="e">
        <f t="shared" si="3"/>
        <v>#DIV/0!</v>
      </c>
      <c r="Z49" s="5" t="e">
        <f t="shared" si="4"/>
        <v>#DIV/0!</v>
      </c>
    </row>
    <row r="50" spans="1:26" x14ac:dyDescent="0.3">
      <c r="A50" t="s">
        <v>1450</v>
      </c>
      <c r="B50" s="5">
        <f>VLOOKUP(A50,Dim!A:B,2)</f>
        <v>29.95</v>
      </c>
      <c r="C50">
        <v>19.13</v>
      </c>
      <c r="D50">
        <v>1.07</v>
      </c>
      <c r="E50">
        <v>2.9039999999999999</v>
      </c>
      <c r="F50" s="1">
        <v>6.4000000000000001E-2</v>
      </c>
      <c r="G50">
        <v>0.46100000000000002</v>
      </c>
      <c r="H50">
        <v>5.47</v>
      </c>
      <c r="I50">
        <v>8.4700000000000006</v>
      </c>
      <c r="J50">
        <v>-1.19</v>
      </c>
      <c r="K50">
        <v>11.18</v>
      </c>
      <c r="L50">
        <v>8.6999999999999993</v>
      </c>
      <c r="M50" s="1">
        <v>0.3427</v>
      </c>
      <c r="N50" s="1">
        <v>0.15179999999999999</v>
      </c>
      <c r="O50">
        <v>1.86</v>
      </c>
      <c r="P50" s="1">
        <v>6.1600000000000002E-2</v>
      </c>
      <c r="Q50" s="1">
        <v>5.5899999999999998E-2</v>
      </c>
      <c r="R50" s="3">
        <v>395220000</v>
      </c>
      <c r="S50" s="3">
        <v>118707000000</v>
      </c>
      <c r="T50">
        <v>0.59</v>
      </c>
      <c r="U50" s="1">
        <v>8.8700000000000001E-2</v>
      </c>
      <c r="V50" s="4">
        <f t="shared" si="0"/>
        <v>5.3333333333333332E-3</v>
      </c>
      <c r="W50" s="5">
        <f t="shared" si="1"/>
        <v>0.15973333333333331</v>
      </c>
      <c r="X50">
        <f t="shared" si="2"/>
        <v>189</v>
      </c>
      <c r="Y50" s="5">
        <f t="shared" si="3"/>
        <v>5660.55</v>
      </c>
      <c r="Z50" s="5">
        <f t="shared" si="4"/>
        <v>30.189599999999995</v>
      </c>
    </row>
    <row r="51" spans="1:26" x14ac:dyDescent="0.3">
      <c r="A51" t="s">
        <v>1451</v>
      </c>
      <c r="B51" s="5">
        <f>VLOOKUP(A51,Dim!A:B,2)</f>
        <v>5.74</v>
      </c>
      <c r="C51">
        <v>19.13</v>
      </c>
      <c r="D51">
        <v>2.95</v>
      </c>
      <c r="E51">
        <v>1.33</v>
      </c>
      <c r="F51" s="1">
        <v>2.5600000000000001E-2</v>
      </c>
      <c r="G51">
        <v>0.96899999999999997</v>
      </c>
      <c r="H51">
        <v>3.67</v>
      </c>
      <c r="I51">
        <v>9.19</v>
      </c>
      <c r="J51">
        <v>-5.16</v>
      </c>
      <c r="K51">
        <v>11.95</v>
      </c>
      <c r="L51">
        <v>9.07</v>
      </c>
      <c r="M51" s="1">
        <v>0.1447</v>
      </c>
      <c r="N51" s="1">
        <v>7.1099999999999997E-2</v>
      </c>
      <c r="O51">
        <v>2.2400000000000002</v>
      </c>
      <c r="P51" s="1">
        <v>0.1326</v>
      </c>
      <c r="Q51" s="1">
        <v>0.154</v>
      </c>
      <c r="R51" s="3">
        <v>8703920</v>
      </c>
      <c r="S51" s="3">
        <v>2183560000</v>
      </c>
      <c r="T51">
        <v>1.23</v>
      </c>
      <c r="U51" s="1">
        <v>0.1847</v>
      </c>
      <c r="V51" s="4">
        <f t="shared" si="0"/>
        <v>2.1333333333333334E-3</v>
      </c>
      <c r="W51" s="5">
        <f t="shared" si="1"/>
        <v>1.2245333333333334E-2</v>
      </c>
      <c r="X51">
        <f t="shared" si="2"/>
        <v>470</v>
      </c>
      <c r="Y51" s="5">
        <f t="shared" si="3"/>
        <v>2697.8</v>
      </c>
      <c r="Z51" s="5">
        <f t="shared" si="4"/>
        <v>5.7553066666666668</v>
      </c>
    </row>
    <row r="52" spans="1:26" x14ac:dyDescent="0.3">
      <c r="A52" t="s">
        <v>1447</v>
      </c>
      <c r="B52" s="5">
        <f>VLOOKUP(A52,Dim!A:B,2)</f>
        <v>5.74</v>
      </c>
      <c r="C52">
        <v>18.8</v>
      </c>
      <c r="D52">
        <v>1.26</v>
      </c>
      <c r="E52">
        <v>2.222</v>
      </c>
      <c r="F52" s="1">
        <v>4.7800000000000002E-2</v>
      </c>
      <c r="G52">
        <v>0.61599999999999999</v>
      </c>
      <c r="H52">
        <v>11.68</v>
      </c>
      <c r="I52">
        <v>13.34</v>
      </c>
      <c r="J52">
        <v>-2.34</v>
      </c>
      <c r="K52">
        <v>19.61</v>
      </c>
      <c r="L52">
        <v>15.48</v>
      </c>
      <c r="M52" s="1">
        <v>0.16650000000000001</v>
      </c>
      <c r="N52" s="1">
        <v>0.11749999999999999</v>
      </c>
      <c r="O52">
        <v>1.27</v>
      </c>
      <c r="P52" s="1">
        <v>5.11E-2</v>
      </c>
      <c r="Q52" s="1">
        <v>6.7199999999999996E-2</v>
      </c>
      <c r="R52" s="3">
        <v>56917500</v>
      </c>
      <c r="S52" s="3">
        <v>12254200000</v>
      </c>
      <c r="T52">
        <v>0.75</v>
      </c>
      <c r="U52" s="1">
        <v>6.0999999999999999E-2</v>
      </c>
      <c r="V52" s="4">
        <f t="shared" si="0"/>
        <v>3.9833333333333335E-3</v>
      </c>
      <c r="W52" s="5">
        <f t="shared" si="1"/>
        <v>2.2864333333333334E-2</v>
      </c>
      <c r="X52">
        <f t="shared" si="2"/>
        <v>253</v>
      </c>
      <c r="Y52" s="5">
        <f t="shared" si="3"/>
        <v>1452.22</v>
      </c>
      <c r="Z52" s="5">
        <f t="shared" si="4"/>
        <v>5.7846763333333335</v>
      </c>
    </row>
    <row r="53" spans="1:26" x14ac:dyDescent="0.3">
      <c r="A53" t="s">
        <v>1219</v>
      </c>
      <c r="B53" s="5">
        <f>VLOOKUP(A53,Dim!A:B,2)</f>
        <v>0</v>
      </c>
      <c r="C53">
        <v>8.0399999999999991</v>
      </c>
      <c r="D53">
        <v>2.2200000000000002</v>
      </c>
      <c r="E53">
        <v>2.23</v>
      </c>
      <c r="F53" s="1">
        <v>2.8400000000000002E-2</v>
      </c>
      <c r="G53">
        <v>1.0109999999999999</v>
      </c>
      <c r="H53">
        <v>32.36</v>
      </c>
      <c r="I53">
        <v>4.9800000000000004</v>
      </c>
      <c r="J53">
        <v>-2.56</v>
      </c>
      <c r="K53">
        <v>6.27</v>
      </c>
      <c r="L53">
        <v>5.58</v>
      </c>
      <c r="M53" s="1">
        <v>0.4481</v>
      </c>
      <c r="N53" s="1">
        <v>0.27760000000000001</v>
      </c>
      <c r="O53">
        <v>1.26</v>
      </c>
      <c r="P53" s="1">
        <v>0.22650000000000001</v>
      </c>
      <c r="Q53" s="1">
        <v>0.27610000000000001</v>
      </c>
      <c r="R53" s="3">
        <v>365174000</v>
      </c>
      <c r="S53" s="3">
        <v>40444100000</v>
      </c>
      <c r="T53">
        <v>0.77</v>
      </c>
      <c r="U53" s="1">
        <v>0.20039999999999999</v>
      </c>
      <c r="V53" s="4">
        <f t="shared" si="0"/>
        <v>2.3666666666666667E-3</v>
      </c>
      <c r="W53" s="5">
        <f t="shared" si="1"/>
        <v>0</v>
      </c>
      <c r="X53" t="e">
        <f t="shared" si="2"/>
        <v>#DIV/0!</v>
      </c>
      <c r="Y53" s="5" t="e">
        <f t="shared" si="3"/>
        <v>#DIV/0!</v>
      </c>
      <c r="Z53" s="5" t="e">
        <f t="shared" si="4"/>
        <v>#DIV/0!</v>
      </c>
    </row>
    <row r="54" spans="1:26" x14ac:dyDescent="0.3">
      <c r="A54" t="s">
        <v>1084</v>
      </c>
      <c r="B54" s="5">
        <f>VLOOKUP(A54,Dim!A:B,2)</f>
        <v>0</v>
      </c>
      <c r="C54">
        <v>4.53</v>
      </c>
      <c r="D54">
        <v>1.84</v>
      </c>
      <c r="E54">
        <v>0.55300000000000005</v>
      </c>
      <c r="F54" s="1">
        <v>0.1188</v>
      </c>
      <c r="G54">
        <v>1.0069999999999999</v>
      </c>
      <c r="H54">
        <v>4</v>
      </c>
      <c r="I54">
        <v>3.3</v>
      </c>
      <c r="J54">
        <v>7.8</v>
      </c>
      <c r="K54">
        <v>2.33</v>
      </c>
      <c r="L54">
        <v>2.0099999999999998</v>
      </c>
      <c r="M54" s="1">
        <v>0.16769999999999999</v>
      </c>
      <c r="N54" s="1">
        <v>0.123</v>
      </c>
      <c r="O54">
        <v>1.76</v>
      </c>
      <c r="P54" s="1">
        <v>0.4456</v>
      </c>
      <c r="Q54" s="1">
        <v>0.40570000000000001</v>
      </c>
      <c r="R54">
        <v>111.65</v>
      </c>
      <c r="S54" s="3">
        <v>64259000</v>
      </c>
      <c r="T54">
        <v>0</v>
      </c>
      <c r="U54" s="1">
        <v>0.3201</v>
      </c>
      <c r="V54" s="4">
        <f t="shared" si="0"/>
        <v>9.9000000000000008E-3</v>
      </c>
      <c r="W54" s="5">
        <f t="shared" si="1"/>
        <v>0</v>
      </c>
      <c r="X54" t="e">
        <f t="shared" si="2"/>
        <v>#DIV/0!</v>
      </c>
      <c r="Y54" s="5" t="e">
        <f t="shared" si="3"/>
        <v>#DIV/0!</v>
      </c>
      <c r="Z54" s="5" t="e">
        <f t="shared" si="4"/>
        <v>#DIV/0!</v>
      </c>
    </row>
    <row r="55" spans="1:26" x14ac:dyDescent="0.3">
      <c r="A55" t="s">
        <v>1446</v>
      </c>
      <c r="B55" s="5">
        <f>VLOOKUP(A55,Dim!A:B,2)</f>
        <v>5.74</v>
      </c>
      <c r="C55">
        <v>18.73</v>
      </c>
      <c r="D55">
        <v>1.06</v>
      </c>
      <c r="E55">
        <v>0</v>
      </c>
      <c r="F55" s="1">
        <v>9.4999999999999998E-3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 s="1">
        <v>0</v>
      </c>
      <c r="N55" s="1">
        <v>0</v>
      </c>
      <c r="O55">
        <v>0</v>
      </c>
      <c r="P55" s="1">
        <v>0</v>
      </c>
      <c r="Q55" s="1">
        <v>5.67E-2</v>
      </c>
      <c r="R55">
        <v>0</v>
      </c>
      <c r="S55" s="3">
        <v>590403000</v>
      </c>
      <c r="T55">
        <v>0</v>
      </c>
      <c r="U55" s="1">
        <v>0.17460000000000001</v>
      </c>
      <c r="V55" s="4">
        <f t="shared" si="0"/>
        <v>7.9166666666666665E-4</v>
      </c>
      <c r="W55" s="5">
        <f t="shared" si="1"/>
        <v>4.5441666666666668E-3</v>
      </c>
      <c r="X55">
        <f t="shared" si="2"/>
        <v>1265</v>
      </c>
      <c r="Y55" s="5">
        <f t="shared" si="3"/>
        <v>7261.1</v>
      </c>
      <c r="Z55" s="5">
        <f t="shared" si="4"/>
        <v>5.7483708333333334</v>
      </c>
    </row>
    <row r="56" spans="1:26" x14ac:dyDescent="0.3">
      <c r="A56" t="s">
        <v>1174</v>
      </c>
      <c r="B56" s="5">
        <f>VLOOKUP(A56,Dim!A:B,2)</f>
        <v>0</v>
      </c>
      <c r="C56">
        <v>6.88</v>
      </c>
      <c r="D56">
        <v>1.63</v>
      </c>
      <c r="E56">
        <v>1.0289999999999999</v>
      </c>
      <c r="F56" s="1">
        <v>3.2899999999999999E-2</v>
      </c>
      <c r="G56">
        <v>0.98099999999999998</v>
      </c>
      <c r="H56">
        <v>2.94</v>
      </c>
      <c r="I56">
        <v>4.75</v>
      </c>
      <c r="J56">
        <v>5.93</v>
      </c>
      <c r="K56">
        <v>4.28</v>
      </c>
      <c r="L56">
        <v>3.97</v>
      </c>
      <c r="M56" s="1">
        <v>0.2167</v>
      </c>
      <c r="N56" s="1">
        <v>0.14949999999999999</v>
      </c>
      <c r="O56">
        <v>2.44</v>
      </c>
      <c r="P56" s="1">
        <v>0.25469999999999998</v>
      </c>
      <c r="Q56" s="1">
        <v>0.23719999999999999</v>
      </c>
      <c r="R56" s="3">
        <v>63770.5</v>
      </c>
      <c r="S56" s="3">
        <v>253700000</v>
      </c>
      <c r="T56">
        <v>0.06</v>
      </c>
      <c r="U56" s="1">
        <v>8.5400000000000004E-2</v>
      </c>
      <c r="V56" s="4">
        <f t="shared" si="0"/>
        <v>2.7416666666666666E-3</v>
      </c>
      <c r="W56" s="5">
        <f t="shared" si="1"/>
        <v>0</v>
      </c>
      <c r="X56" t="e">
        <f t="shared" si="2"/>
        <v>#DIV/0!</v>
      </c>
      <c r="Y56" s="5" t="e">
        <f t="shared" si="3"/>
        <v>#DIV/0!</v>
      </c>
      <c r="Z56" s="5" t="e">
        <f t="shared" si="4"/>
        <v>#DIV/0!</v>
      </c>
    </row>
    <row r="57" spans="1:26" x14ac:dyDescent="0.3">
      <c r="A57" t="s">
        <v>1444</v>
      </c>
      <c r="B57" s="5">
        <f>VLOOKUP(A57,Dim!A:B,2)</f>
        <v>29.49</v>
      </c>
      <c r="C57">
        <v>18.52</v>
      </c>
      <c r="D57">
        <v>1.69</v>
      </c>
      <c r="E57">
        <v>1.0880000000000001</v>
      </c>
      <c r="F57" s="1">
        <v>4.7300000000000002E-2</v>
      </c>
      <c r="G57">
        <v>0.52900000000000003</v>
      </c>
      <c r="H57">
        <v>9.94</v>
      </c>
      <c r="I57">
        <v>5.28</v>
      </c>
      <c r="J57">
        <v>-1.1200000000000001</v>
      </c>
      <c r="K57">
        <v>9.3699999999999992</v>
      </c>
      <c r="L57">
        <v>5.76</v>
      </c>
      <c r="M57" s="1">
        <v>0.20599999999999999</v>
      </c>
      <c r="N57" s="1">
        <v>5.8700000000000002E-2</v>
      </c>
      <c r="O57">
        <v>1.33</v>
      </c>
      <c r="P57" s="1">
        <v>0.123</v>
      </c>
      <c r="Q57" s="1">
        <v>9.1200000000000003E-2</v>
      </c>
      <c r="R57" s="3">
        <v>277130000</v>
      </c>
      <c r="S57" s="3">
        <v>25487200000</v>
      </c>
      <c r="T57">
        <v>1.63</v>
      </c>
      <c r="U57" s="1">
        <v>0.4284</v>
      </c>
      <c r="V57" s="4">
        <f t="shared" si="0"/>
        <v>3.9416666666666671E-3</v>
      </c>
      <c r="W57" s="5">
        <f t="shared" si="1"/>
        <v>0.11623975</v>
      </c>
      <c r="X57">
        <f t="shared" si="2"/>
        <v>255</v>
      </c>
      <c r="Y57" s="5">
        <f t="shared" si="3"/>
        <v>7519.95</v>
      </c>
      <c r="Z57" s="5">
        <f t="shared" si="4"/>
        <v>29.641136250000002</v>
      </c>
    </row>
    <row r="58" spans="1:26" x14ac:dyDescent="0.3">
      <c r="A58" t="s">
        <v>1438</v>
      </c>
      <c r="B58" s="5">
        <f>VLOOKUP(A58,Dim!A:B,2)</f>
        <v>29.49</v>
      </c>
      <c r="C58">
        <v>17.78</v>
      </c>
      <c r="D58">
        <v>0.76</v>
      </c>
      <c r="E58">
        <v>6.4039999999999999</v>
      </c>
      <c r="F58" s="1">
        <v>3.9300000000000002E-2</v>
      </c>
      <c r="G58">
        <v>0.53900000000000003</v>
      </c>
      <c r="H58">
        <v>3.39</v>
      </c>
      <c r="I58">
        <v>-51.99</v>
      </c>
      <c r="J58">
        <v>-5.13</v>
      </c>
      <c r="K58">
        <v>-49.62</v>
      </c>
      <c r="L58">
        <v>209.69</v>
      </c>
      <c r="M58" s="1">
        <v>-0.1232</v>
      </c>
      <c r="N58" s="1">
        <v>0.36009999999999998</v>
      </c>
      <c r="O58">
        <v>6.02</v>
      </c>
      <c r="P58" s="1">
        <v>-1.2200000000000001E-2</v>
      </c>
      <c r="Q58" s="1">
        <v>4.2999999999999997E-2</v>
      </c>
      <c r="R58" s="3">
        <v>9502.93</v>
      </c>
      <c r="S58" s="3">
        <v>909591000</v>
      </c>
      <c r="T58">
        <v>0.17</v>
      </c>
      <c r="U58" s="1">
        <v>0.4385</v>
      </c>
      <c r="V58" s="4">
        <f t="shared" si="0"/>
        <v>3.2750000000000001E-3</v>
      </c>
      <c r="W58" s="5">
        <f t="shared" si="1"/>
        <v>9.6579749999999992E-2</v>
      </c>
      <c r="X58">
        <f t="shared" si="2"/>
        <v>307</v>
      </c>
      <c r="Y58" s="5">
        <f t="shared" si="3"/>
        <v>9053.43</v>
      </c>
      <c r="Z58" s="5">
        <f t="shared" si="4"/>
        <v>29.649983249999998</v>
      </c>
    </row>
    <row r="59" spans="1:26" x14ac:dyDescent="0.3">
      <c r="A59" t="s">
        <v>1435</v>
      </c>
      <c r="B59" s="5">
        <f>VLOOKUP(A59,Dim!A:B,2)</f>
        <v>3.95</v>
      </c>
      <c r="C59">
        <v>17.47</v>
      </c>
      <c r="D59">
        <v>1.74</v>
      </c>
      <c r="E59">
        <v>0</v>
      </c>
      <c r="F59" s="1">
        <v>2.3E-2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 s="1">
        <v>0</v>
      </c>
      <c r="N59" s="1">
        <v>0</v>
      </c>
      <c r="O59">
        <v>0</v>
      </c>
      <c r="P59" s="1">
        <v>0</v>
      </c>
      <c r="Q59" s="1">
        <v>9.9299999999999999E-2</v>
      </c>
      <c r="R59" s="3">
        <v>20042100</v>
      </c>
      <c r="S59" s="3">
        <v>7678540000</v>
      </c>
      <c r="T59">
        <v>0</v>
      </c>
      <c r="U59" s="1">
        <v>2.0899999999999998E-2</v>
      </c>
      <c r="V59" s="4">
        <f t="shared" si="0"/>
        <v>1.9166666666666666E-3</v>
      </c>
      <c r="W59" s="5">
        <f t="shared" si="1"/>
        <v>7.5708333333333331E-3</v>
      </c>
      <c r="X59">
        <f t="shared" si="2"/>
        <v>523</v>
      </c>
      <c r="Y59" s="5">
        <f t="shared" si="3"/>
        <v>2065.85</v>
      </c>
      <c r="Z59" s="5">
        <f t="shared" si="4"/>
        <v>3.9595458333333333</v>
      </c>
    </row>
    <row r="60" spans="1:26" x14ac:dyDescent="0.3">
      <c r="A60" t="s">
        <v>1079</v>
      </c>
      <c r="B60" s="5">
        <f>VLOOKUP(A60,Dim!A:B,2)</f>
        <v>0</v>
      </c>
      <c r="C60">
        <v>4.18</v>
      </c>
      <c r="D60">
        <v>1.69</v>
      </c>
      <c r="E60">
        <v>0.51</v>
      </c>
      <c r="F60" s="1">
        <v>0.1416</v>
      </c>
      <c r="G60">
        <v>0.92900000000000005</v>
      </c>
      <c r="H60">
        <v>3.69</v>
      </c>
      <c r="I60">
        <v>3.04</v>
      </c>
      <c r="J60">
        <v>7.19</v>
      </c>
      <c r="K60">
        <v>2.0699999999999998</v>
      </c>
      <c r="L60">
        <v>1.79</v>
      </c>
      <c r="M60" s="1">
        <v>0.16769999999999999</v>
      </c>
      <c r="N60" s="1">
        <v>0.123</v>
      </c>
      <c r="O60">
        <v>1.76</v>
      </c>
      <c r="P60" s="1">
        <v>0.4456</v>
      </c>
      <c r="Q60" s="1">
        <v>0.40570000000000001</v>
      </c>
      <c r="R60">
        <v>944.56</v>
      </c>
      <c r="S60" s="3">
        <v>64259000</v>
      </c>
      <c r="T60">
        <v>0</v>
      </c>
      <c r="U60" s="1">
        <v>0.3201</v>
      </c>
      <c r="V60" s="4">
        <f t="shared" si="0"/>
        <v>1.18E-2</v>
      </c>
      <c r="W60" s="5">
        <f t="shared" si="1"/>
        <v>0</v>
      </c>
      <c r="X60" t="e">
        <f t="shared" si="2"/>
        <v>#DIV/0!</v>
      </c>
      <c r="Y60" s="5" t="e">
        <f t="shared" si="3"/>
        <v>#DIV/0!</v>
      </c>
      <c r="Z60" s="5" t="e">
        <f t="shared" si="4"/>
        <v>#DIV/0!</v>
      </c>
    </row>
    <row r="61" spans="1:26" x14ac:dyDescent="0.3">
      <c r="A61" t="s">
        <v>1432</v>
      </c>
      <c r="B61" s="5">
        <f>VLOOKUP(A61,Dim!A:B,2)</f>
        <v>29.49</v>
      </c>
      <c r="C61">
        <v>16.91</v>
      </c>
      <c r="D61">
        <v>0.73</v>
      </c>
      <c r="E61">
        <v>6.09</v>
      </c>
      <c r="F61" s="1">
        <v>3.8699999999999998E-2</v>
      </c>
      <c r="G61">
        <v>0.51200000000000001</v>
      </c>
      <c r="H61">
        <v>3.22</v>
      </c>
      <c r="I61">
        <v>-49.45</v>
      </c>
      <c r="J61">
        <v>-4.88</v>
      </c>
      <c r="K61">
        <v>-47.08</v>
      </c>
      <c r="L61">
        <v>198.95</v>
      </c>
      <c r="M61" s="1">
        <v>-0.1232</v>
      </c>
      <c r="N61" s="1">
        <v>0.36009999999999998</v>
      </c>
      <c r="O61">
        <v>6.02</v>
      </c>
      <c r="P61" s="1">
        <v>-1.2200000000000001E-2</v>
      </c>
      <c r="Q61" s="1">
        <v>4.2999999999999997E-2</v>
      </c>
      <c r="R61" s="3">
        <v>3800.4</v>
      </c>
      <c r="S61" s="3">
        <v>909591000</v>
      </c>
      <c r="T61">
        <v>0.17</v>
      </c>
      <c r="U61" s="1">
        <v>0.4385</v>
      </c>
      <c r="V61" s="4">
        <f t="shared" si="0"/>
        <v>3.225E-3</v>
      </c>
      <c r="W61" s="5">
        <f t="shared" si="1"/>
        <v>9.5105249999999988E-2</v>
      </c>
      <c r="X61">
        <f t="shared" si="2"/>
        <v>312</v>
      </c>
      <c r="Y61" s="5">
        <f t="shared" si="3"/>
        <v>9200.8799999999992</v>
      </c>
      <c r="Z61" s="5">
        <f t="shared" si="4"/>
        <v>29.672837999999995</v>
      </c>
    </row>
    <row r="62" spans="1:26" x14ac:dyDescent="0.3">
      <c r="A62" t="s">
        <v>1430</v>
      </c>
      <c r="B62" s="5">
        <f>VLOOKUP(A62,Dim!A:B,2)</f>
        <v>58</v>
      </c>
      <c r="C62">
        <v>16.77</v>
      </c>
      <c r="D62">
        <v>0.92</v>
      </c>
      <c r="E62">
        <v>4.4160000000000004</v>
      </c>
      <c r="F62" s="1">
        <v>5.3199999999999997E-2</v>
      </c>
      <c r="G62">
        <v>0.46800000000000003</v>
      </c>
      <c r="H62">
        <v>4.93</v>
      </c>
      <c r="I62">
        <v>8.89</v>
      </c>
      <c r="J62">
        <v>-1.47</v>
      </c>
      <c r="K62">
        <v>6.76</v>
      </c>
      <c r="L62">
        <v>4.68</v>
      </c>
      <c r="M62" s="1">
        <v>0.49690000000000001</v>
      </c>
      <c r="N62" s="1">
        <v>0.3014</v>
      </c>
      <c r="O62">
        <v>2.91</v>
      </c>
      <c r="P62" s="1">
        <v>5.9499999999999997E-2</v>
      </c>
      <c r="Q62" s="1">
        <v>5.4800000000000001E-2</v>
      </c>
      <c r="R62" s="3">
        <v>72229400</v>
      </c>
      <c r="S62" s="3">
        <v>13446800000</v>
      </c>
      <c r="T62">
        <v>0</v>
      </c>
      <c r="U62" s="1">
        <v>0.41020000000000001</v>
      </c>
      <c r="V62" s="4">
        <f t="shared" si="0"/>
        <v>4.4333333333333334E-3</v>
      </c>
      <c r="W62" s="5">
        <f t="shared" si="1"/>
        <v>0.25713333333333332</v>
      </c>
      <c r="X62">
        <f t="shared" si="2"/>
        <v>227</v>
      </c>
      <c r="Y62" s="5">
        <f t="shared" si="3"/>
        <v>13166</v>
      </c>
      <c r="Z62" s="5">
        <f t="shared" si="4"/>
        <v>58.369266666666668</v>
      </c>
    </row>
    <row r="63" spans="1:26" x14ac:dyDescent="0.3">
      <c r="A63" t="s">
        <v>1429</v>
      </c>
      <c r="B63" s="5">
        <f>VLOOKUP(A63,Dim!A:B,2)</f>
        <v>5.74</v>
      </c>
      <c r="C63">
        <v>16.690000000000001</v>
      </c>
      <c r="D63">
        <v>1.2</v>
      </c>
      <c r="E63">
        <v>0.997</v>
      </c>
      <c r="F63" s="1">
        <v>2.46E-2</v>
      </c>
      <c r="G63">
        <v>0.77100000000000002</v>
      </c>
      <c r="H63">
        <v>2.9</v>
      </c>
      <c r="I63">
        <v>10.93</v>
      </c>
      <c r="J63">
        <v>7.27</v>
      </c>
      <c r="K63">
        <v>10.61</v>
      </c>
      <c r="L63">
        <v>7.39</v>
      </c>
      <c r="M63" s="1">
        <v>9.1200000000000003E-2</v>
      </c>
      <c r="N63" s="1">
        <v>5.9700000000000003E-2</v>
      </c>
      <c r="O63">
        <v>2.33</v>
      </c>
      <c r="P63" s="1">
        <v>9.6000000000000002E-2</v>
      </c>
      <c r="Q63" s="1">
        <v>7.2099999999999997E-2</v>
      </c>
      <c r="R63" s="3">
        <v>15863800</v>
      </c>
      <c r="S63" s="3">
        <v>8140170000</v>
      </c>
      <c r="T63">
        <v>0.23</v>
      </c>
      <c r="U63" s="1">
        <v>8.1600000000000006E-2</v>
      </c>
      <c r="V63" s="4">
        <f t="shared" si="0"/>
        <v>2.0500000000000002E-3</v>
      </c>
      <c r="W63" s="5">
        <f t="shared" si="1"/>
        <v>1.1767000000000001E-2</v>
      </c>
      <c r="X63">
        <f t="shared" si="2"/>
        <v>489</v>
      </c>
      <c r="Y63" s="5">
        <f t="shared" si="3"/>
        <v>2806.86</v>
      </c>
      <c r="Z63" s="5">
        <f t="shared" si="4"/>
        <v>5.7540630000000004</v>
      </c>
    </row>
    <row r="64" spans="1:26" x14ac:dyDescent="0.3">
      <c r="A64" t="s">
        <v>1245</v>
      </c>
      <c r="B64" s="5">
        <f>VLOOKUP(A64,Dim!A:B,2)</f>
        <v>0</v>
      </c>
      <c r="C64">
        <v>8.6300000000000008</v>
      </c>
      <c r="D64">
        <v>2.44</v>
      </c>
      <c r="E64">
        <v>1.2150000000000001</v>
      </c>
      <c r="F64" s="1">
        <v>0.1313</v>
      </c>
      <c r="G64">
        <v>0.91100000000000003</v>
      </c>
      <c r="H64">
        <v>3.38</v>
      </c>
      <c r="I64">
        <v>7.57</v>
      </c>
      <c r="J64">
        <v>-4.2</v>
      </c>
      <c r="K64">
        <v>8.73</v>
      </c>
      <c r="L64">
        <v>6.4</v>
      </c>
      <c r="M64" s="1">
        <v>0.1605</v>
      </c>
      <c r="N64" s="1">
        <v>0.14030000000000001</v>
      </c>
      <c r="O64">
        <v>2.96</v>
      </c>
      <c r="P64" s="1">
        <v>0.16800000000000001</v>
      </c>
      <c r="Q64" s="1">
        <v>0.28310000000000002</v>
      </c>
      <c r="R64" s="3">
        <v>572817</v>
      </c>
      <c r="S64" s="3">
        <v>2809930000</v>
      </c>
      <c r="T64">
        <v>1</v>
      </c>
      <c r="U64" s="1">
        <v>-2.2599999999999999E-2</v>
      </c>
      <c r="V64" s="4">
        <f t="shared" si="0"/>
        <v>1.0941666666666667E-2</v>
      </c>
      <c r="W64" s="5">
        <f t="shared" si="1"/>
        <v>0</v>
      </c>
      <c r="X64" t="e">
        <f t="shared" si="2"/>
        <v>#DIV/0!</v>
      </c>
      <c r="Y64" s="5" t="e">
        <f t="shared" si="3"/>
        <v>#DIV/0!</v>
      </c>
      <c r="Z64" s="5" t="e">
        <f t="shared" si="4"/>
        <v>#DIV/0!</v>
      </c>
    </row>
    <row r="65" spans="1:26" x14ac:dyDescent="0.3">
      <c r="A65" t="s">
        <v>1427</v>
      </c>
      <c r="B65" s="5">
        <f>VLOOKUP(A65,Dim!A:B,2)</f>
        <v>5.74</v>
      </c>
      <c r="C65">
        <v>16.64</v>
      </c>
      <c r="D65">
        <v>1.82</v>
      </c>
      <c r="E65">
        <v>0</v>
      </c>
      <c r="F65" s="1">
        <v>3.95E-2</v>
      </c>
      <c r="G65">
        <v>1.706</v>
      </c>
      <c r="H65">
        <v>6.65</v>
      </c>
      <c r="I65">
        <v>-54.89</v>
      </c>
      <c r="J65">
        <v>7.07</v>
      </c>
      <c r="K65">
        <v>-45.91</v>
      </c>
      <c r="L65">
        <v>-45.91</v>
      </c>
      <c r="M65" s="1">
        <v>0</v>
      </c>
      <c r="N65" s="1">
        <v>0</v>
      </c>
      <c r="O65">
        <v>6.18</v>
      </c>
      <c r="P65" s="1">
        <v>-4.3099999999999999E-2</v>
      </c>
      <c r="Q65" s="1">
        <v>0.1096</v>
      </c>
      <c r="R65">
        <v>0</v>
      </c>
      <c r="S65" s="3">
        <v>232276000</v>
      </c>
      <c r="T65">
        <v>0</v>
      </c>
      <c r="U65" s="1">
        <v>0</v>
      </c>
      <c r="V65" s="4">
        <f t="shared" si="0"/>
        <v>3.2916666666666667E-3</v>
      </c>
      <c r="W65" s="5">
        <f t="shared" si="1"/>
        <v>1.8894166666666667E-2</v>
      </c>
      <c r="X65">
        <f t="shared" si="2"/>
        <v>305</v>
      </c>
      <c r="Y65" s="5">
        <f t="shared" si="3"/>
        <v>1750.7</v>
      </c>
      <c r="Z65" s="5">
        <f t="shared" si="4"/>
        <v>5.7627208333333337</v>
      </c>
    </row>
    <row r="66" spans="1:26" x14ac:dyDescent="0.3">
      <c r="A66" t="s">
        <v>1424</v>
      </c>
      <c r="B66" s="5">
        <f>VLOOKUP(A66,Dim!A:B,2)</f>
        <v>5.74</v>
      </c>
      <c r="C66">
        <v>16.350000000000001</v>
      </c>
      <c r="D66">
        <v>0.56999999999999995</v>
      </c>
      <c r="E66">
        <v>0.16500000000000001</v>
      </c>
      <c r="F66" s="1">
        <v>3.5799999999999998E-2</v>
      </c>
      <c r="G66">
        <v>0.17100000000000001</v>
      </c>
      <c r="H66">
        <v>1.46</v>
      </c>
      <c r="I66">
        <v>3.49</v>
      </c>
      <c r="J66">
        <v>-0.95</v>
      </c>
      <c r="K66">
        <v>5.76</v>
      </c>
      <c r="L66">
        <v>3.32</v>
      </c>
      <c r="M66" s="1">
        <v>4.7100000000000003E-2</v>
      </c>
      <c r="N66" s="1">
        <v>1.01E-2</v>
      </c>
      <c r="O66">
        <v>1.29</v>
      </c>
      <c r="P66" s="1">
        <v>7.0699999999999999E-2</v>
      </c>
      <c r="Q66" s="1">
        <v>3.4799999999999998E-2</v>
      </c>
      <c r="R66" s="3">
        <v>240248000</v>
      </c>
      <c r="S66" s="3">
        <v>11085100000</v>
      </c>
      <c r="T66">
        <v>0.56000000000000005</v>
      </c>
      <c r="U66" s="1">
        <v>2.0299999999999999E-2</v>
      </c>
      <c r="V66" s="4">
        <f t="shared" ref="V66:V129" si="5">F66/12</f>
        <v>2.9833333333333331E-3</v>
      </c>
      <c r="W66" s="5">
        <f t="shared" ref="W66:W129" si="6">V66*B66</f>
        <v>1.7124333333333332E-2</v>
      </c>
      <c r="X66">
        <f t="shared" ref="X66:X129" si="7">ROUNDUP((B66/W66),0)+1</f>
        <v>337</v>
      </c>
      <c r="Y66" s="5">
        <f t="shared" ref="Y66:Y129" si="8">X66*B66</f>
        <v>1934.38</v>
      </c>
      <c r="Z66" s="5">
        <f t="shared" ref="Z66:Z129" si="9">X66*W66</f>
        <v>5.7709003333333326</v>
      </c>
    </row>
    <row r="67" spans="1:26" x14ac:dyDescent="0.3">
      <c r="A67" t="s">
        <v>1422</v>
      </c>
      <c r="B67" s="5">
        <f>VLOOKUP(A67,Dim!A:B,2)</f>
        <v>58</v>
      </c>
      <c r="C67">
        <v>16.25</v>
      </c>
      <c r="D67">
        <v>0.97</v>
      </c>
      <c r="E67">
        <v>0.64</v>
      </c>
      <c r="F67" s="1">
        <v>6.2E-2</v>
      </c>
      <c r="G67">
        <v>0.26</v>
      </c>
      <c r="H67">
        <v>1.39</v>
      </c>
      <c r="I67">
        <v>2.79</v>
      </c>
      <c r="J67">
        <v>-0.65</v>
      </c>
      <c r="K67">
        <v>7.26</v>
      </c>
      <c r="L67">
        <v>4.6500000000000004</v>
      </c>
      <c r="M67" s="1">
        <v>0.2291</v>
      </c>
      <c r="N67" s="1">
        <v>4.19E-2</v>
      </c>
      <c r="O67">
        <v>2.42</v>
      </c>
      <c r="P67" s="1">
        <v>0.11749999999999999</v>
      </c>
      <c r="Q67" s="1">
        <v>5.9499999999999997E-2</v>
      </c>
      <c r="R67" s="3">
        <v>4783670</v>
      </c>
      <c r="S67" s="3">
        <v>1232630000</v>
      </c>
      <c r="T67">
        <v>2.0499999999999998</v>
      </c>
      <c r="U67" s="1">
        <v>0.39150000000000001</v>
      </c>
      <c r="V67" s="4">
        <f t="shared" si="5"/>
        <v>5.1666666666666666E-3</v>
      </c>
      <c r="W67" s="5">
        <f t="shared" si="6"/>
        <v>0.29966666666666664</v>
      </c>
      <c r="X67">
        <f t="shared" si="7"/>
        <v>195</v>
      </c>
      <c r="Y67" s="5">
        <f t="shared" si="8"/>
        <v>11310</v>
      </c>
      <c r="Z67" s="5">
        <f t="shared" si="9"/>
        <v>58.434999999999995</v>
      </c>
    </row>
    <row r="68" spans="1:26" x14ac:dyDescent="0.3">
      <c r="A68" t="s">
        <v>1421</v>
      </c>
      <c r="B68" s="5">
        <f>VLOOKUP(A68,Dim!A:B,2)</f>
        <v>58</v>
      </c>
      <c r="C68">
        <v>16.100000000000001</v>
      </c>
      <c r="D68">
        <v>3.34</v>
      </c>
      <c r="E68">
        <v>1.7210000000000001</v>
      </c>
      <c r="F68" s="1">
        <v>1.4200000000000001E-2</v>
      </c>
      <c r="G68">
        <v>2.3330000000000002</v>
      </c>
      <c r="H68">
        <v>8.91</v>
      </c>
      <c r="I68">
        <v>21.18</v>
      </c>
      <c r="J68">
        <v>9.51</v>
      </c>
      <c r="K68">
        <v>18.440000000000001</v>
      </c>
      <c r="L68">
        <v>14.77</v>
      </c>
      <c r="M68" s="1">
        <v>8.1299999999999997E-2</v>
      </c>
      <c r="N68" s="1">
        <v>0.1069</v>
      </c>
      <c r="O68">
        <v>1.92</v>
      </c>
      <c r="P68" s="1">
        <v>0.22359999999999999</v>
      </c>
      <c r="Q68" s="1">
        <v>0.20760000000000001</v>
      </c>
      <c r="R68" s="3">
        <v>20417.3</v>
      </c>
      <c r="S68" s="3">
        <v>135885000</v>
      </c>
      <c r="T68">
        <v>0</v>
      </c>
      <c r="U68" s="1">
        <v>9.8400000000000001E-2</v>
      </c>
      <c r="V68" s="4">
        <f t="shared" si="5"/>
        <v>1.1833333333333333E-3</v>
      </c>
      <c r="W68" s="5">
        <f t="shared" si="6"/>
        <v>6.8633333333333338E-2</v>
      </c>
      <c r="X68">
        <f t="shared" si="7"/>
        <v>847</v>
      </c>
      <c r="Y68" s="5">
        <f t="shared" si="8"/>
        <v>49126</v>
      </c>
      <c r="Z68" s="5">
        <f t="shared" si="9"/>
        <v>58.132433333333339</v>
      </c>
    </row>
    <row r="69" spans="1:26" x14ac:dyDescent="0.3">
      <c r="A69" t="s">
        <v>1416</v>
      </c>
      <c r="B69" s="5">
        <f>VLOOKUP(A69,Dim!A:B,2)</f>
        <v>29.49</v>
      </c>
      <c r="C69">
        <v>15.49</v>
      </c>
      <c r="D69">
        <v>0.91</v>
      </c>
      <c r="E69">
        <v>0.184</v>
      </c>
      <c r="F69" s="1">
        <v>5.7200000000000001E-2</v>
      </c>
      <c r="G69">
        <v>0.27600000000000002</v>
      </c>
      <c r="H69">
        <v>1.39</v>
      </c>
      <c r="I69">
        <v>3.7</v>
      </c>
      <c r="J69">
        <v>-1.84</v>
      </c>
      <c r="K69">
        <v>5.84</v>
      </c>
      <c r="L69">
        <v>3.31</v>
      </c>
      <c r="M69" s="1">
        <v>4.9700000000000001E-2</v>
      </c>
      <c r="N69" s="1">
        <v>1.1900000000000001E-2</v>
      </c>
      <c r="O69">
        <v>1.58</v>
      </c>
      <c r="P69" s="1">
        <v>0.1012</v>
      </c>
      <c r="Q69" s="1">
        <v>5.8500000000000003E-2</v>
      </c>
      <c r="R69" s="3">
        <v>8857100</v>
      </c>
      <c r="S69" s="3">
        <v>2778330000</v>
      </c>
      <c r="T69">
        <v>0.61</v>
      </c>
      <c r="U69" s="1">
        <v>0.18049999999999999</v>
      </c>
      <c r="V69" s="4">
        <f t="shared" si="5"/>
        <v>4.7666666666666664E-3</v>
      </c>
      <c r="W69" s="5">
        <f t="shared" si="6"/>
        <v>0.140569</v>
      </c>
      <c r="X69">
        <f t="shared" si="7"/>
        <v>211</v>
      </c>
      <c r="Y69" s="5">
        <f t="shared" si="8"/>
        <v>6222.3899999999994</v>
      </c>
      <c r="Z69" s="5">
        <f t="shared" si="9"/>
        <v>29.660059</v>
      </c>
    </row>
    <row r="70" spans="1:26" x14ac:dyDescent="0.3">
      <c r="A70" t="s">
        <v>1414</v>
      </c>
      <c r="B70" s="5">
        <f>VLOOKUP(A70,Dim!A:B,2)</f>
        <v>5.74</v>
      </c>
      <c r="C70">
        <v>15.32</v>
      </c>
      <c r="D70">
        <v>0.87</v>
      </c>
      <c r="E70">
        <v>0</v>
      </c>
      <c r="F70" s="1">
        <v>4.24E-2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 s="1">
        <v>0</v>
      </c>
      <c r="N70" s="1">
        <v>0</v>
      </c>
      <c r="O70">
        <v>0</v>
      </c>
      <c r="P70" s="1">
        <v>0</v>
      </c>
      <c r="Q70" s="1">
        <v>5.67E-2</v>
      </c>
      <c r="R70" s="3">
        <v>3649.47</v>
      </c>
      <c r="S70" s="3">
        <v>590403000</v>
      </c>
      <c r="T70">
        <v>0</v>
      </c>
      <c r="U70" s="1">
        <v>0.17460000000000001</v>
      </c>
      <c r="V70" s="4">
        <f t="shared" si="5"/>
        <v>3.5333333333333332E-3</v>
      </c>
      <c r="W70" s="5">
        <f t="shared" si="6"/>
        <v>2.0281333333333332E-2</v>
      </c>
      <c r="X70">
        <f t="shared" si="7"/>
        <v>285</v>
      </c>
      <c r="Y70" s="5">
        <f t="shared" si="8"/>
        <v>1635.9</v>
      </c>
      <c r="Z70" s="5">
        <f t="shared" si="9"/>
        <v>5.7801799999999997</v>
      </c>
    </row>
    <row r="71" spans="1:26" x14ac:dyDescent="0.3">
      <c r="A71" t="s">
        <v>1410</v>
      </c>
      <c r="B71" s="5">
        <f>VLOOKUP(A71,Dim!A:B,2)</f>
        <v>3.95</v>
      </c>
      <c r="C71">
        <v>15.21</v>
      </c>
      <c r="D71">
        <v>1.7</v>
      </c>
      <c r="E71">
        <v>1.2150000000000001</v>
      </c>
      <c r="F71" s="1">
        <v>7.5700000000000003E-2</v>
      </c>
      <c r="G71">
        <v>1.1819999999999999</v>
      </c>
      <c r="H71">
        <v>2.83</v>
      </c>
      <c r="I71">
        <v>14.81</v>
      </c>
      <c r="J71">
        <v>3.21</v>
      </c>
      <c r="K71">
        <v>11.15</v>
      </c>
      <c r="L71">
        <v>7.27</v>
      </c>
      <c r="M71" s="1">
        <v>8.2000000000000003E-2</v>
      </c>
      <c r="N71" s="1">
        <v>8.1299999999999997E-2</v>
      </c>
      <c r="O71">
        <v>2.65</v>
      </c>
      <c r="P71" s="1">
        <v>0.1293</v>
      </c>
      <c r="Q71" s="1">
        <v>0.11169999999999999</v>
      </c>
      <c r="R71" s="3">
        <v>7809220</v>
      </c>
      <c r="S71" s="3">
        <v>1127180000</v>
      </c>
      <c r="T71">
        <v>0.02</v>
      </c>
      <c r="U71" s="1">
        <v>0.51090000000000002</v>
      </c>
      <c r="V71" s="4">
        <f t="shared" si="5"/>
        <v>6.3083333333333333E-3</v>
      </c>
      <c r="W71" s="5">
        <f t="shared" si="6"/>
        <v>2.4917916666666668E-2</v>
      </c>
      <c r="X71">
        <f t="shared" si="7"/>
        <v>160</v>
      </c>
      <c r="Y71" s="5">
        <f t="shared" si="8"/>
        <v>632</v>
      </c>
      <c r="Z71" s="5">
        <f t="shared" si="9"/>
        <v>3.9868666666666668</v>
      </c>
    </row>
    <row r="72" spans="1:26" x14ac:dyDescent="0.3">
      <c r="A72" t="s">
        <v>1449</v>
      </c>
      <c r="B72" s="5">
        <f>VLOOKUP(A72,Dim!A:B,2)</f>
        <v>0</v>
      </c>
      <c r="C72">
        <v>18.96</v>
      </c>
      <c r="D72">
        <v>1.62</v>
      </c>
      <c r="E72">
        <v>1.9179999999999999</v>
      </c>
      <c r="F72" s="1">
        <v>5.0099999999999999E-2</v>
      </c>
      <c r="G72">
        <v>0.874</v>
      </c>
      <c r="H72">
        <v>-236.89</v>
      </c>
      <c r="I72">
        <v>12.87</v>
      </c>
      <c r="J72">
        <v>-3.46</v>
      </c>
      <c r="K72">
        <v>14.14</v>
      </c>
      <c r="L72">
        <v>5.19</v>
      </c>
      <c r="M72" s="1">
        <v>0.14899999999999999</v>
      </c>
      <c r="N72" s="1">
        <v>0.10100000000000001</v>
      </c>
      <c r="O72">
        <v>0.98</v>
      </c>
      <c r="P72" s="1">
        <v>7.9799999999999996E-2</v>
      </c>
      <c r="Q72" s="1">
        <v>8.5699999999999998E-2</v>
      </c>
      <c r="R72" s="3">
        <v>118261000</v>
      </c>
      <c r="S72" s="3">
        <v>68076700000</v>
      </c>
      <c r="T72">
        <v>0.3</v>
      </c>
      <c r="U72" s="1">
        <v>7.5600000000000001E-2</v>
      </c>
      <c r="V72" s="4">
        <f t="shared" si="5"/>
        <v>4.1749999999999999E-3</v>
      </c>
      <c r="W72" s="5">
        <f t="shared" si="6"/>
        <v>0</v>
      </c>
      <c r="X72" t="e">
        <f t="shared" si="7"/>
        <v>#DIV/0!</v>
      </c>
      <c r="Y72" s="5" t="e">
        <f t="shared" si="8"/>
        <v>#DIV/0!</v>
      </c>
      <c r="Z72" s="5" t="e">
        <f t="shared" si="9"/>
        <v>#DIV/0!</v>
      </c>
    </row>
    <row r="73" spans="1:26" x14ac:dyDescent="0.3">
      <c r="A73" t="s">
        <v>1407</v>
      </c>
      <c r="B73" s="5">
        <f>VLOOKUP(A73,Dim!A:B,2)</f>
        <v>106.55</v>
      </c>
      <c r="C73">
        <v>14.82</v>
      </c>
      <c r="D73">
        <v>3.56</v>
      </c>
      <c r="E73">
        <v>1.9650000000000001</v>
      </c>
      <c r="F73" s="1">
        <v>4.6399999999999997E-2</v>
      </c>
      <c r="G73">
        <v>0.91400000000000003</v>
      </c>
      <c r="H73">
        <v>4.41</v>
      </c>
      <c r="I73">
        <v>7.07</v>
      </c>
      <c r="J73">
        <v>-3.37</v>
      </c>
      <c r="K73">
        <v>5.98</v>
      </c>
      <c r="L73">
        <v>4.75</v>
      </c>
      <c r="M73" s="1">
        <v>0.27789999999999998</v>
      </c>
      <c r="N73" s="1">
        <v>0.1326</v>
      </c>
      <c r="O73">
        <v>1.78</v>
      </c>
      <c r="P73" s="1">
        <v>0.23699999999999999</v>
      </c>
      <c r="Q73" s="1">
        <v>0.2404</v>
      </c>
      <c r="R73" s="3">
        <v>24658500</v>
      </c>
      <c r="S73" s="3">
        <v>9237280000</v>
      </c>
      <c r="T73">
        <v>1</v>
      </c>
      <c r="U73" s="1">
        <v>-1.9699999999999999E-2</v>
      </c>
      <c r="V73" s="4">
        <f t="shared" si="5"/>
        <v>3.8666666666666663E-3</v>
      </c>
      <c r="W73" s="5">
        <f t="shared" si="6"/>
        <v>0.41199333333333327</v>
      </c>
      <c r="X73">
        <f t="shared" si="7"/>
        <v>260</v>
      </c>
      <c r="Y73" s="5">
        <f t="shared" si="8"/>
        <v>27703</v>
      </c>
      <c r="Z73" s="5">
        <f t="shared" si="9"/>
        <v>107.11826666666666</v>
      </c>
    </row>
    <row r="74" spans="1:26" x14ac:dyDescent="0.3">
      <c r="A74" t="s">
        <v>1399</v>
      </c>
      <c r="B74" s="5">
        <f>VLOOKUP(A74,Dim!A:B,2)</f>
        <v>5.74</v>
      </c>
      <c r="C74">
        <v>14.26</v>
      </c>
      <c r="D74">
        <v>1.1499999999999999</v>
      </c>
      <c r="E74">
        <v>1.6220000000000001</v>
      </c>
      <c r="F74" s="1">
        <v>4.1300000000000003E-2</v>
      </c>
      <c r="G74">
        <v>0.90800000000000003</v>
      </c>
      <c r="H74">
        <v>3.04</v>
      </c>
      <c r="I74">
        <v>22.1</v>
      </c>
      <c r="J74">
        <v>4.3499999999999996</v>
      </c>
      <c r="K74">
        <v>18.27</v>
      </c>
      <c r="L74">
        <v>7.08</v>
      </c>
      <c r="M74" s="1">
        <v>7.3400000000000007E-2</v>
      </c>
      <c r="N74" s="1">
        <v>0.1139</v>
      </c>
      <c r="O74">
        <v>3.46</v>
      </c>
      <c r="P74" s="1">
        <v>5.5300000000000002E-2</v>
      </c>
      <c r="Q74" s="1">
        <v>8.09E-2</v>
      </c>
      <c r="R74" s="3">
        <v>1942.05</v>
      </c>
      <c r="S74" s="3">
        <v>3369260000</v>
      </c>
      <c r="T74">
        <v>0.09</v>
      </c>
      <c r="U74" s="1">
        <v>1.37E-2</v>
      </c>
      <c r="V74" s="4">
        <f t="shared" si="5"/>
        <v>3.4416666666666671E-3</v>
      </c>
      <c r="W74" s="5">
        <f t="shared" si="6"/>
        <v>1.9755166666666671E-2</v>
      </c>
      <c r="X74">
        <f t="shared" si="7"/>
        <v>292</v>
      </c>
      <c r="Y74" s="5">
        <f t="shared" si="8"/>
        <v>1676.0800000000002</v>
      </c>
      <c r="Z74" s="5">
        <f t="shared" si="9"/>
        <v>5.7685086666666683</v>
      </c>
    </row>
    <row r="75" spans="1:26" x14ac:dyDescent="0.3">
      <c r="A75" t="s">
        <v>1398</v>
      </c>
      <c r="B75" s="5">
        <f>VLOOKUP(A75,Dim!A:B,2)</f>
        <v>3.95</v>
      </c>
      <c r="C75">
        <v>14.17</v>
      </c>
      <c r="D75">
        <v>2.98</v>
      </c>
      <c r="E75">
        <v>0</v>
      </c>
      <c r="F75" s="1">
        <v>2.1299999999999999E-2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 s="1">
        <v>0</v>
      </c>
      <c r="N75" s="1">
        <v>0</v>
      </c>
      <c r="O75">
        <v>0</v>
      </c>
      <c r="P75" s="1">
        <v>0</v>
      </c>
      <c r="Q75" s="1">
        <v>0.21049999999999999</v>
      </c>
      <c r="R75" s="3">
        <v>347472000</v>
      </c>
      <c r="S75" s="3">
        <v>63703300000</v>
      </c>
      <c r="T75">
        <v>0</v>
      </c>
      <c r="U75" s="1">
        <v>0.1391</v>
      </c>
      <c r="V75" s="4">
        <f t="shared" si="5"/>
        <v>1.7749999999999999E-3</v>
      </c>
      <c r="W75" s="5">
        <f t="shared" si="6"/>
        <v>7.0112500000000001E-3</v>
      </c>
      <c r="X75">
        <f t="shared" si="7"/>
        <v>565</v>
      </c>
      <c r="Y75" s="5">
        <f t="shared" si="8"/>
        <v>2231.75</v>
      </c>
      <c r="Z75" s="5">
        <f t="shared" si="9"/>
        <v>3.9613562500000001</v>
      </c>
    </row>
    <row r="76" spans="1:26" x14ac:dyDescent="0.3">
      <c r="A76" t="s">
        <v>1395</v>
      </c>
      <c r="B76" s="5">
        <f>VLOOKUP(A76,Dim!A:B,2)</f>
        <v>58</v>
      </c>
      <c r="C76">
        <v>13.83</v>
      </c>
      <c r="D76">
        <v>3.37</v>
      </c>
      <c r="E76">
        <v>6.1740000000000004</v>
      </c>
      <c r="F76" s="1">
        <v>2.2200000000000001E-2</v>
      </c>
      <c r="G76">
        <v>1.415</v>
      </c>
      <c r="H76">
        <v>6.55</v>
      </c>
      <c r="I76">
        <v>10.48</v>
      </c>
      <c r="J76">
        <v>-6.13</v>
      </c>
      <c r="K76">
        <v>10.46</v>
      </c>
      <c r="L76">
        <v>9.85</v>
      </c>
      <c r="M76" s="1">
        <v>0.58919999999999995</v>
      </c>
      <c r="N76" s="1">
        <v>0.44669999999999999</v>
      </c>
      <c r="O76">
        <v>2.62</v>
      </c>
      <c r="P76" s="1">
        <v>0.19800000000000001</v>
      </c>
      <c r="Q76" s="1">
        <v>0.24399999999999999</v>
      </c>
      <c r="R76" s="3">
        <v>365888000</v>
      </c>
      <c r="S76" s="3">
        <v>19736100000</v>
      </c>
      <c r="T76">
        <v>0.74</v>
      </c>
      <c r="U76" s="1">
        <v>1.04E-2</v>
      </c>
      <c r="V76" s="4">
        <f t="shared" si="5"/>
        <v>1.8500000000000001E-3</v>
      </c>
      <c r="W76" s="5">
        <f t="shared" si="6"/>
        <v>0.10730000000000001</v>
      </c>
      <c r="X76">
        <f t="shared" si="7"/>
        <v>542</v>
      </c>
      <c r="Y76" s="5">
        <f t="shared" si="8"/>
        <v>31436</v>
      </c>
      <c r="Z76" s="5">
        <f t="shared" si="9"/>
        <v>58.156600000000005</v>
      </c>
    </row>
    <row r="77" spans="1:26" x14ac:dyDescent="0.3">
      <c r="A77" t="s">
        <v>1393</v>
      </c>
      <c r="B77" s="5">
        <f>VLOOKUP(A77,Dim!A:B,2)</f>
        <v>106.55</v>
      </c>
      <c r="C77">
        <v>13.5</v>
      </c>
      <c r="D77">
        <v>1.61</v>
      </c>
      <c r="E77">
        <v>1.722</v>
      </c>
      <c r="F77" s="1">
        <v>4.6899999999999997E-2</v>
      </c>
      <c r="G77">
        <v>0.67700000000000005</v>
      </c>
      <c r="H77">
        <v>28.65</v>
      </c>
      <c r="I77">
        <v>9.65</v>
      </c>
      <c r="J77">
        <v>-1.78</v>
      </c>
      <c r="K77">
        <v>13.64</v>
      </c>
      <c r="L77">
        <v>10.16</v>
      </c>
      <c r="M77" s="1">
        <v>0.17829999999999999</v>
      </c>
      <c r="N77" s="1">
        <v>0.12690000000000001</v>
      </c>
      <c r="O77">
        <v>1.1299999999999999</v>
      </c>
      <c r="P77" s="1">
        <v>7.7200000000000005E-2</v>
      </c>
      <c r="Q77" s="1">
        <v>0.11890000000000001</v>
      </c>
      <c r="R77" s="3">
        <v>133198000</v>
      </c>
      <c r="S77" s="3">
        <v>25596100000</v>
      </c>
      <c r="T77">
        <v>0.78</v>
      </c>
      <c r="U77" s="1">
        <v>2.06E-2</v>
      </c>
      <c r="V77" s="4">
        <f t="shared" si="5"/>
        <v>3.9083333333333331E-3</v>
      </c>
      <c r="W77" s="5">
        <f t="shared" si="6"/>
        <v>0.41643291666666665</v>
      </c>
      <c r="X77">
        <f t="shared" si="7"/>
        <v>257</v>
      </c>
      <c r="Y77" s="5">
        <f t="shared" si="8"/>
        <v>27383.35</v>
      </c>
      <c r="Z77" s="5">
        <f t="shared" si="9"/>
        <v>107.02325958333333</v>
      </c>
    </row>
    <row r="78" spans="1:26" x14ac:dyDescent="0.3">
      <c r="A78" t="s">
        <v>1390</v>
      </c>
      <c r="B78" s="5">
        <f>VLOOKUP(A78,Dim!A:B,2)</f>
        <v>94.82</v>
      </c>
      <c r="C78">
        <v>13.3</v>
      </c>
      <c r="D78">
        <v>1.82</v>
      </c>
      <c r="E78">
        <v>5.6929999999999996</v>
      </c>
      <c r="F78" s="1">
        <v>5.8400000000000001E-2</v>
      </c>
      <c r="G78">
        <v>1.23</v>
      </c>
      <c r="H78">
        <v>5.89</v>
      </c>
      <c r="I78">
        <v>9.2899999999999991</v>
      </c>
      <c r="J78">
        <v>-343.21</v>
      </c>
      <c r="K78">
        <v>9.07</v>
      </c>
      <c r="L78">
        <v>9.1</v>
      </c>
      <c r="M78" s="1">
        <v>0.6129</v>
      </c>
      <c r="N78" s="1">
        <v>0.42799999999999999</v>
      </c>
      <c r="O78">
        <v>2.9</v>
      </c>
      <c r="P78" s="1">
        <v>0.14829999999999999</v>
      </c>
      <c r="Q78" s="1">
        <v>0.13650000000000001</v>
      </c>
      <c r="R78" s="3">
        <v>1137.44</v>
      </c>
      <c r="S78" s="3">
        <v>255393000</v>
      </c>
      <c r="T78">
        <v>0.11</v>
      </c>
      <c r="U78" s="1">
        <v>4.5600000000000002E-2</v>
      </c>
      <c r="V78" s="4">
        <f t="shared" si="5"/>
        <v>4.8666666666666667E-3</v>
      </c>
      <c r="W78" s="5">
        <f t="shared" si="6"/>
        <v>0.46145733333333333</v>
      </c>
      <c r="X78">
        <f t="shared" si="7"/>
        <v>207</v>
      </c>
      <c r="Y78" s="5">
        <f t="shared" si="8"/>
        <v>19627.739999999998</v>
      </c>
      <c r="Z78" s="5">
        <f t="shared" si="9"/>
        <v>95.521668000000005</v>
      </c>
    </row>
    <row r="79" spans="1:26" x14ac:dyDescent="0.3">
      <c r="A79" t="s">
        <v>1497</v>
      </c>
      <c r="B79" s="5">
        <f>VLOOKUP(A79,Dim!A:B,2)</f>
        <v>0</v>
      </c>
      <c r="C79">
        <v>28.09</v>
      </c>
      <c r="D79">
        <v>2.64</v>
      </c>
      <c r="E79">
        <v>2.3170000000000002</v>
      </c>
      <c r="F79" s="1">
        <v>2.5399999999999999E-2</v>
      </c>
      <c r="G79">
        <v>0.80700000000000005</v>
      </c>
      <c r="H79">
        <v>12.02</v>
      </c>
      <c r="I79">
        <v>9.84</v>
      </c>
      <c r="J79">
        <v>-1.69</v>
      </c>
      <c r="K79">
        <v>11.96</v>
      </c>
      <c r="L79">
        <v>5.87</v>
      </c>
      <c r="M79" s="1">
        <v>0.23549999999999999</v>
      </c>
      <c r="N79" s="1">
        <v>8.2900000000000001E-2</v>
      </c>
      <c r="O79">
        <v>1.45</v>
      </c>
      <c r="P79" s="1">
        <v>9.9500000000000005E-2</v>
      </c>
      <c r="Q79" s="1">
        <v>9.4100000000000003E-2</v>
      </c>
      <c r="R79" s="3">
        <v>80316200</v>
      </c>
      <c r="S79" s="3">
        <v>5639220000</v>
      </c>
      <c r="T79">
        <v>1.06</v>
      </c>
      <c r="U79" s="1">
        <v>0.48270000000000002</v>
      </c>
      <c r="V79" s="4">
        <f t="shared" si="5"/>
        <v>2.1166666666666664E-3</v>
      </c>
      <c r="W79" s="5">
        <f t="shared" si="6"/>
        <v>0</v>
      </c>
      <c r="X79" t="e">
        <f t="shared" si="7"/>
        <v>#DIV/0!</v>
      </c>
      <c r="Y79" s="5" t="e">
        <f t="shared" si="8"/>
        <v>#DIV/0!</v>
      </c>
      <c r="Z79" s="5" t="e">
        <f t="shared" si="9"/>
        <v>#DIV/0!</v>
      </c>
    </row>
    <row r="80" spans="1:26" x14ac:dyDescent="0.3">
      <c r="A80" t="s">
        <v>1386</v>
      </c>
      <c r="B80" s="5">
        <f>VLOOKUP(A80,Dim!A:B,2)</f>
        <v>5.74</v>
      </c>
      <c r="C80">
        <v>13.08</v>
      </c>
      <c r="D80">
        <v>1.47</v>
      </c>
      <c r="E80">
        <v>1.0109999999999999</v>
      </c>
      <c r="F80" s="1">
        <v>6.83E-2</v>
      </c>
      <c r="G80">
        <v>0.60699999999999998</v>
      </c>
      <c r="H80">
        <v>3.02</v>
      </c>
      <c r="I80">
        <v>6.73</v>
      </c>
      <c r="J80">
        <v>-2.4500000000000002</v>
      </c>
      <c r="K80">
        <v>9.51</v>
      </c>
      <c r="L80">
        <v>5.57</v>
      </c>
      <c r="M80" s="1">
        <v>0.15029999999999999</v>
      </c>
      <c r="N80" s="1">
        <v>7.4399999999999994E-2</v>
      </c>
      <c r="O80">
        <v>2.5099999999999998</v>
      </c>
      <c r="P80" s="1">
        <v>0.114</v>
      </c>
      <c r="Q80" s="1">
        <v>0.11269999999999999</v>
      </c>
      <c r="R80" s="3">
        <v>61713500</v>
      </c>
      <c r="S80" s="3">
        <v>5379100000</v>
      </c>
      <c r="T80">
        <v>1</v>
      </c>
      <c r="U80" s="1">
        <v>0.2341</v>
      </c>
      <c r="V80" s="4">
        <f t="shared" si="5"/>
        <v>5.6916666666666669E-3</v>
      </c>
      <c r="W80" s="5">
        <f t="shared" si="6"/>
        <v>3.2670166666666667E-2</v>
      </c>
      <c r="X80">
        <f t="shared" si="7"/>
        <v>177</v>
      </c>
      <c r="Y80" s="5">
        <f t="shared" si="8"/>
        <v>1015.98</v>
      </c>
      <c r="Z80" s="5">
        <f t="shared" si="9"/>
        <v>5.7826195</v>
      </c>
    </row>
    <row r="81" spans="1:26" x14ac:dyDescent="0.3">
      <c r="A81" t="s">
        <v>1383</v>
      </c>
      <c r="B81" s="5">
        <f>VLOOKUP(A81,Dim!A:B,2)</f>
        <v>5.74</v>
      </c>
      <c r="C81">
        <v>13</v>
      </c>
      <c r="D81">
        <v>1.61</v>
      </c>
      <c r="E81">
        <v>5.3259999999999996</v>
      </c>
      <c r="F81" s="1">
        <v>1.61E-2</v>
      </c>
      <c r="G81">
        <v>0.747</v>
      </c>
      <c r="H81">
        <v>3.51</v>
      </c>
      <c r="I81">
        <v>9.0299999999999994</v>
      </c>
      <c r="J81">
        <v>-3.07</v>
      </c>
      <c r="K81">
        <v>11.99</v>
      </c>
      <c r="L81">
        <v>10.02</v>
      </c>
      <c r="M81" s="1">
        <v>0.58989999999999998</v>
      </c>
      <c r="N81" s="1">
        <v>0.40970000000000001</v>
      </c>
      <c r="O81">
        <v>3.67</v>
      </c>
      <c r="P81" s="1">
        <v>0.10100000000000001</v>
      </c>
      <c r="Q81" s="1">
        <v>0.12379999999999999</v>
      </c>
      <c r="R81" s="3">
        <v>47821900</v>
      </c>
      <c r="S81" s="3">
        <v>4514230000</v>
      </c>
      <c r="T81">
        <v>0.91</v>
      </c>
      <c r="U81" s="1">
        <v>0.16159999999999999</v>
      </c>
      <c r="V81" s="4">
        <f t="shared" si="5"/>
        <v>1.3416666666666666E-3</v>
      </c>
      <c r="W81" s="5">
        <f t="shared" si="6"/>
        <v>7.7011666666666661E-3</v>
      </c>
      <c r="X81">
        <f t="shared" si="7"/>
        <v>747</v>
      </c>
      <c r="Y81" s="5">
        <f t="shared" si="8"/>
        <v>4287.78</v>
      </c>
      <c r="Z81" s="5">
        <f t="shared" si="9"/>
        <v>5.7527714999999997</v>
      </c>
    </row>
    <row r="82" spans="1:26" x14ac:dyDescent="0.3">
      <c r="A82" t="s">
        <v>1314</v>
      </c>
      <c r="B82" s="5">
        <f>VLOOKUP(A82,Dim!A:B,2)</f>
        <v>0</v>
      </c>
      <c r="C82">
        <v>10.4</v>
      </c>
      <c r="D82">
        <v>1.17</v>
      </c>
      <c r="E82">
        <v>0.875</v>
      </c>
      <c r="F82" s="1">
        <v>3.3599999999999998E-2</v>
      </c>
      <c r="G82">
        <v>0.77100000000000002</v>
      </c>
      <c r="H82">
        <v>2.13</v>
      </c>
      <c r="I82">
        <v>8.6300000000000008</v>
      </c>
      <c r="J82">
        <v>3.17</v>
      </c>
      <c r="K82">
        <v>10.44</v>
      </c>
      <c r="L82">
        <v>8.1</v>
      </c>
      <c r="M82" s="1">
        <v>0.10150000000000001</v>
      </c>
      <c r="N82" s="1">
        <v>8.3699999999999997E-2</v>
      </c>
      <c r="O82">
        <v>2.63</v>
      </c>
      <c r="P82" s="1">
        <v>9.8699999999999996E-2</v>
      </c>
      <c r="Q82" s="1">
        <v>0.11219999999999999</v>
      </c>
      <c r="R82" s="3">
        <v>561925</v>
      </c>
      <c r="S82" s="3">
        <v>601557000</v>
      </c>
      <c r="T82">
        <v>0.35</v>
      </c>
      <c r="U82" s="1">
        <v>4.36E-2</v>
      </c>
      <c r="V82" s="4">
        <f t="shared" si="5"/>
        <v>2.8E-3</v>
      </c>
      <c r="W82" s="5">
        <f t="shared" si="6"/>
        <v>0</v>
      </c>
      <c r="X82" t="e">
        <f t="shared" si="7"/>
        <v>#DIV/0!</v>
      </c>
      <c r="Y82" s="5" t="e">
        <f t="shared" si="8"/>
        <v>#DIV/0!</v>
      </c>
      <c r="Z82" s="5" t="e">
        <f t="shared" si="9"/>
        <v>#DIV/0!</v>
      </c>
    </row>
    <row r="83" spans="1:26" x14ac:dyDescent="0.3">
      <c r="A83" t="s">
        <v>1380</v>
      </c>
      <c r="B83" s="5">
        <f>VLOOKUP(A83,Dim!A:B,2)</f>
        <v>51.8</v>
      </c>
      <c r="C83">
        <v>12.86</v>
      </c>
      <c r="D83">
        <v>1.55</v>
      </c>
      <c r="E83">
        <v>21.768999999999998</v>
      </c>
      <c r="F83" s="1">
        <v>0.43030000000000002</v>
      </c>
      <c r="G83">
        <v>1.1180000000000001</v>
      </c>
      <c r="H83">
        <v>14.31</v>
      </c>
      <c r="I83">
        <v>-8.85</v>
      </c>
      <c r="J83">
        <v>-6.74</v>
      </c>
      <c r="K83">
        <v>-8.43</v>
      </c>
      <c r="L83">
        <v>-10.220000000000001</v>
      </c>
      <c r="M83" s="1">
        <v>-2.4594</v>
      </c>
      <c r="N83" s="1">
        <v>1.6930000000000001</v>
      </c>
      <c r="O83">
        <v>3.21</v>
      </c>
      <c r="P83" s="1">
        <v>-0.1336</v>
      </c>
      <c r="Q83" s="1">
        <v>0.1207</v>
      </c>
      <c r="R83" s="3">
        <v>39975.599999999999</v>
      </c>
      <c r="S83" s="3">
        <v>40889000</v>
      </c>
      <c r="T83">
        <v>0</v>
      </c>
      <c r="U83" s="1">
        <v>-0.7389</v>
      </c>
      <c r="V83" s="4">
        <f t="shared" si="5"/>
        <v>3.5858333333333332E-2</v>
      </c>
      <c r="W83" s="5">
        <f t="shared" si="6"/>
        <v>1.8574616666666666</v>
      </c>
      <c r="X83">
        <f t="shared" si="7"/>
        <v>29</v>
      </c>
      <c r="Y83" s="5">
        <f t="shared" si="8"/>
        <v>1502.1999999999998</v>
      </c>
      <c r="Z83" s="5">
        <f t="shared" si="9"/>
        <v>53.866388333333333</v>
      </c>
    </row>
    <row r="84" spans="1:26" x14ac:dyDescent="0.3">
      <c r="A84" t="s">
        <v>1379</v>
      </c>
      <c r="B84" s="5">
        <f>VLOOKUP(A84,Dim!A:B,2)</f>
        <v>74.92</v>
      </c>
      <c r="C84">
        <v>12.85</v>
      </c>
      <c r="D84">
        <v>2.0499999999999998</v>
      </c>
      <c r="E84">
        <v>2.0670000000000002</v>
      </c>
      <c r="F84" s="1">
        <v>8.7400000000000005E-2</v>
      </c>
      <c r="G84">
        <v>1.3340000000000001</v>
      </c>
      <c r="H84">
        <v>48.37</v>
      </c>
      <c r="I84">
        <v>9.23</v>
      </c>
      <c r="J84">
        <v>-23.25</v>
      </c>
      <c r="K84">
        <v>8.5299999999999994</v>
      </c>
      <c r="L84">
        <v>6.4</v>
      </c>
      <c r="M84" s="1">
        <v>0.224</v>
      </c>
      <c r="N84" s="1">
        <v>0.1656</v>
      </c>
      <c r="O84">
        <v>1.1100000000000001</v>
      </c>
      <c r="P84" s="1">
        <v>0.19450000000000001</v>
      </c>
      <c r="Q84" s="1">
        <v>0.1595</v>
      </c>
      <c r="R84" s="3">
        <v>339412000</v>
      </c>
      <c r="S84" s="3">
        <v>92471600000</v>
      </c>
      <c r="T84">
        <v>0.03</v>
      </c>
      <c r="U84" s="1">
        <v>7.1400000000000005E-2</v>
      </c>
      <c r="V84" s="4">
        <f t="shared" si="5"/>
        <v>7.2833333333333335E-3</v>
      </c>
      <c r="W84" s="5">
        <f t="shared" si="6"/>
        <v>0.54566733333333339</v>
      </c>
      <c r="X84">
        <f t="shared" si="7"/>
        <v>139</v>
      </c>
      <c r="Y84" s="5">
        <f t="shared" si="8"/>
        <v>10413.880000000001</v>
      </c>
      <c r="Z84" s="5">
        <f t="shared" si="9"/>
        <v>75.847759333333343</v>
      </c>
    </row>
    <row r="85" spans="1:26" x14ac:dyDescent="0.3">
      <c r="A85" t="s">
        <v>1378</v>
      </c>
      <c r="B85" s="5">
        <f>VLOOKUP(A85,Dim!A:B,2)</f>
        <v>5.74</v>
      </c>
      <c r="C85">
        <v>12.79</v>
      </c>
      <c r="D85">
        <v>0.84</v>
      </c>
      <c r="E85">
        <v>0.161</v>
      </c>
      <c r="F85" s="1">
        <v>7.8600000000000003E-2</v>
      </c>
      <c r="G85">
        <v>0.125</v>
      </c>
      <c r="H85">
        <v>0.68</v>
      </c>
      <c r="I85">
        <v>1.45</v>
      </c>
      <c r="J85">
        <v>-0.26</v>
      </c>
      <c r="K85">
        <v>7.74</v>
      </c>
      <c r="L85">
        <v>4.66</v>
      </c>
      <c r="M85" s="1">
        <v>0.1105</v>
      </c>
      <c r="N85" s="1">
        <v>1.26E-2</v>
      </c>
      <c r="O85">
        <v>1.99</v>
      </c>
      <c r="P85" s="1">
        <v>9.98E-2</v>
      </c>
      <c r="Q85" s="1">
        <v>6.59E-2</v>
      </c>
      <c r="R85" s="3">
        <v>3445420</v>
      </c>
      <c r="S85" s="3">
        <v>1819290000</v>
      </c>
      <c r="T85">
        <v>4.41</v>
      </c>
      <c r="U85" s="1">
        <v>1.8589</v>
      </c>
      <c r="V85" s="4">
        <f t="shared" si="5"/>
        <v>6.5500000000000003E-3</v>
      </c>
      <c r="W85" s="5">
        <f t="shared" si="6"/>
        <v>3.7597000000000005E-2</v>
      </c>
      <c r="X85">
        <f t="shared" si="7"/>
        <v>154</v>
      </c>
      <c r="Y85" s="5">
        <f t="shared" si="8"/>
        <v>883.96</v>
      </c>
      <c r="Z85" s="5">
        <f t="shared" si="9"/>
        <v>5.7899380000000011</v>
      </c>
    </row>
    <row r="86" spans="1:26" x14ac:dyDescent="0.3">
      <c r="A86" t="s">
        <v>1377</v>
      </c>
      <c r="B86" s="5">
        <f>VLOOKUP(A86,Dim!A:B,2)</f>
        <v>106.55</v>
      </c>
      <c r="C86">
        <v>12.75</v>
      </c>
      <c r="D86">
        <v>7.54</v>
      </c>
      <c r="E86">
        <v>2.1549999999999998</v>
      </c>
      <c r="F86" s="1">
        <v>4.53E-2</v>
      </c>
      <c r="G86">
        <v>1.9350000000000001</v>
      </c>
      <c r="H86">
        <v>6.37</v>
      </c>
      <c r="I86">
        <v>8.82</v>
      </c>
      <c r="J86">
        <v>-16.72</v>
      </c>
      <c r="K86">
        <v>8.6199999999999992</v>
      </c>
      <c r="L86">
        <v>8.3699999999999992</v>
      </c>
      <c r="M86" s="1">
        <v>0.24429999999999999</v>
      </c>
      <c r="N86" s="1">
        <v>0.187</v>
      </c>
      <c r="O86">
        <v>2.1</v>
      </c>
      <c r="P86" s="1">
        <v>0.3377</v>
      </c>
      <c r="Q86" s="1">
        <v>0.59140000000000004</v>
      </c>
      <c r="R86" s="3">
        <v>68920800</v>
      </c>
      <c r="S86" s="3">
        <v>1329970000</v>
      </c>
      <c r="T86">
        <v>0.98</v>
      </c>
      <c r="U86" s="1">
        <v>0.32940000000000003</v>
      </c>
      <c r="V86" s="4">
        <f t="shared" si="5"/>
        <v>3.7750000000000001E-3</v>
      </c>
      <c r="W86" s="5">
        <f t="shared" si="6"/>
        <v>0.40222625000000001</v>
      </c>
      <c r="X86">
        <f t="shared" si="7"/>
        <v>266</v>
      </c>
      <c r="Y86" s="5">
        <f t="shared" si="8"/>
        <v>28342.3</v>
      </c>
      <c r="Z86" s="5">
        <f t="shared" si="9"/>
        <v>106.9921825</v>
      </c>
    </row>
    <row r="87" spans="1:26" x14ac:dyDescent="0.3">
      <c r="A87" t="s">
        <v>1376</v>
      </c>
      <c r="B87" s="5">
        <f>VLOOKUP(A87,Dim!A:B,2)</f>
        <v>106.55</v>
      </c>
      <c r="C87">
        <v>12.7</v>
      </c>
      <c r="D87">
        <v>1.51</v>
      </c>
      <c r="E87">
        <v>1.619</v>
      </c>
      <c r="F87" s="1">
        <v>4.5400000000000003E-2</v>
      </c>
      <c r="G87">
        <v>0.63600000000000001</v>
      </c>
      <c r="H87">
        <v>26.95</v>
      </c>
      <c r="I87">
        <v>9.08</v>
      </c>
      <c r="J87">
        <v>-1.67</v>
      </c>
      <c r="K87">
        <v>13.07</v>
      </c>
      <c r="L87">
        <v>9.73</v>
      </c>
      <c r="M87" s="1">
        <v>0.17829999999999999</v>
      </c>
      <c r="N87" s="1">
        <v>0.12690000000000001</v>
      </c>
      <c r="O87">
        <v>1.1299999999999999</v>
      </c>
      <c r="P87" s="1">
        <v>7.7200000000000005E-2</v>
      </c>
      <c r="Q87" s="1">
        <v>0.11890000000000001</v>
      </c>
      <c r="R87" s="3">
        <v>56291300</v>
      </c>
      <c r="S87" s="3">
        <v>25596100000</v>
      </c>
      <c r="T87">
        <v>0.78</v>
      </c>
      <c r="U87" s="1">
        <v>2.06E-2</v>
      </c>
      <c r="V87" s="4">
        <f t="shared" si="5"/>
        <v>3.7833333333333334E-3</v>
      </c>
      <c r="W87" s="5">
        <f t="shared" si="6"/>
        <v>0.40311416666666666</v>
      </c>
      <c r="X87">
        <f t="shared" si="7"/>
        <v>266</v>
      </c>
      <c r="Y87" s="5">
        <f t="shared" si="8"/>
        <v>28342.3</v>
      </c>
      <c r="Z87" s="5">
        <f t="shared" si="9"/>
        <v>107.22836833333334</v>
      </c>
    </row>
    <row r="88" spans="1:26" x14ac:dyDescent="0.3">
      <c r="A88" t="s">
        <v>1374</v>
      </c>
      <c r="B88" s="5">
        <f>VLOOKUP(A88,Dim!A:B,2)</f>
        <v>5.74</v>
      </c>
      <c r="C88">
        <v>12.61</v>
      </c>
      <c r="D88">
        <v>1.65</v>
      </c>
      <c r="E88">
        <v>0.93100000000000005</v>
      </c>
      <c r="F88" s="1">
        <v>2.1499999999999998E-2</v>
      </c>
      <c r="G88">
        <v>0.39500000000000002</v>
      </c>
      <c r="H88">
        <v>9.39</v>
      </c>
      <c r="I88">
        <v>4.42</v>
      </c>
      <c r="J88">
        <v>-0.77</v>
      </c>
      <c r="K88">
        <v>8.81</v>
      </c>
      <c r="L88">
        <v>7.09</v>
      </c>
      <c r="M88" s="1">
        <v>0.21060000000000001</v>
      </c>
      <c r="N88" s="1">
        <v>9.0700000000000003E-2</v>
      </c>
      <c r="O88">
        <v>1.24</v>
      </c>
      <c r="P88" s="1">
        <v>0.1016</v>
      </c>
      <c r="Q88" s="1">
        <v>0.1305</v>
      </c>
      <c r="R88" s="3">
        <v>305847000</v>
      </c>
      <c r="S88" s="3">
        <v>27995100000</v>
      </c>
      <c r="T88">
        <v>1.97</v>
      </c>
      <c r="U88" s="1">
        <v>0.26300000000000001</v>
      </c>
      <c r="V88" s="4">
        <f t="shared" si="5"/>
        <v>1.7916666666666665E-3</v>
      </c>
      <c r="W88" s="5">
        <f t="shared" si="6"/>
        <v>1.0284166666666665E-2</v>
      </c>
      <c r="X88">
        <f t="shared" si="7"/>
        <v>560</v>
      </c>
      <c r="Y88" s="5">
        <f t="shared" si="8"/>
        <v>3214.4</v>
      </c>
      <c r="Z88" s="5">
        <f t="shared" si="9"/>
        <v>5.7591333333333328</v>
      </c>
    </row>
    <row r="89" spans="1:26" x14ac:dyDescent="0.3">
      <c r="A89" t="s">
        <v>1371</v>
      </c>
      <c r="B89" s="5">
        <f>VLOOKUP(A89,Dim!A:B,2)</f>
        <v>106.55</v>
      </c>
      <c r="C89">
        <v>12.48</v>
      </c>
      <c r="D89">
        <v>1.48</v>
      </c>
      <c r="E89">
        <v>1.5920000000000001</v>
      </c>
      <c r="F89" s="1">
        <v>5.0799999999999998E-2</v>
      </c>
      <c r="G89">
        <v>0.626</v>
      </c>
      <c r="H89">
        <v>26.49</v>
      </c>
      <c r="I89">
        <v>8.93</v>
      </c>
      <c r="J89">
        <v>-1.65</v>
      </c>
      <c r="K89">
        <v>12.92</v>
      </c>
      <c r="L89">
        <v>9.6199999999999992</v>
      </c>
      <c r="M89" s="1">
        <v>0.17829999999999999</v>
      </c>
      <c r="N89" s="1">
        <v>0.12690000000000001</v>
      </c>
      <c r="O89">
        <v>1.1299999999999999</v>
      </c>
      <c r="P89" s="1">
        <v>7.7200000000000005E-2</v>
      </c>
      <c r="Q89" s="1">
        <v>0.11890000000000001</v>
      </c>
      <c r="R89" s="3">
        <v>2448.02</v>
      </c>
      <c r="S89" s="3">
        <v>25596100000</v>
      </c>
      <c r="T89">
        <v>0.78</v>
      </c>
      <c r="U89" s="1">
        <v>2.06E-2</v>
      </c>
      <c r="V89" s="4">
        <f t="shared" si="5"/>
        <v>4.2333333333333329E-3</v>
      </c>
      <c r="W89" s="5">
        <f t="shared" si="6"/>
        <v>0.45106166666666658</v>
      </c>
      <c r="X89">
        <f t="shared" si="7"/>
        <v>238</v>
      </c>
      <c r="Y89" s="5">
        <f t="shared" si="8"/>
        <v>25358.899999999998</v>
      </c>
      <c r="Z89" s="5">
        <f t="shared" si="9"/>
        <v>107.35267666666665</v>
      </c>
    </row>
    <row r="90" spans="1:26" x14ac:dyDescent="0.3">
      <c r="A90" t="s">
        <v>1208</v>
      </c>
      <c r="B90" s="5">
        <f>VLOOKUP(A90,Dim!A:B,2)</f>
        <v>0</v>
      </c>
      <c r="C90">
        <v>7.61</v>
      </c>
      <c r="D90">
        <v>3.19</v>
      </c>
      <c r="E90">
        <v>0.54100000000000004</v>
      </c>
      <c r="F90" s="1">
        <v>0.1817</v>
      </c>
      <c r="G90">
        <v>0.71299999999999997</v>
      </c>
      <c r="H90">
        <v>-43.61</v>
      </c>
      <c r="I90">
        <v>5.55</v>
      </c>
      <c r="J90">
        <v>-7.16</v>
      </c>
      <c r="K90">
        <v>5.1100000000000003</v>
      </c>
      <c r="L90">
        <v>4.2699999999999996</v>
      </c>
      <c r="M90" s="1">
        <v>9.74E-2</v>
      </c>
      <c r="N90" s="1">
        <v>7.1199999999999999E-2</v>
      </c>
      <c r="O90">
        <v>0.98</v>
      </c>
      <c r="P90" s="1">
        <v>0.33610000000000001</v>
      </c>
      <c r="Q90" s="1">
        <v>0.41959999999999997</v>
      </c>
      <c r="R90" s="3">
        <v>72395.399999999994</v>
      </c>
      <c r="S90" s="3">
        <v>2227520000</v>
      </c>
      <c r="T90">
        <v>0.82</v>
      </c>
      <c r="U90" s="1">
        <v>4.3400000000000001E-2</v>
      </c>
      <c r="V90" s="4">
        <f t="shared" si="5"/>
        <v>1.5141666666666666E-2</v>
      </c>
      <c r="W90" s="5">
        <f t="shared" si="6"/>
        <v>0</v>
      </c>
      <c r="X90" t="e">
        <f t="shared" si="7"/>
        <v>#DIV/0!</v>
      </c>
      <c r="Y90" s="5" t="e">
        <f t="shared" si="8"/>
        <v>#DIV/0!</v>
      </c>
      <c r="Z90" s="5" t="e">
        <f t="shared" si="9"/>
        <v>#DIV/0!</v>
      </c>
    </row>
    <row r="91" spans="1:26" x14ac:dyDescent="0.3">
      <c r="A91" t="s">
        <v>1370</v>
      </c>
      <c r="B91" s="5">
        <f>VLOOKUP(A91,Dim!A:B,2)</f>
        <v>58</v>
      </c>
      <c r="C91">
        <v>12.48</v>
      </c>
      <c r="D91">
        <v>2.0499999999999998</v>
      </c>
      <c r="E91">
        <v>0.151</v>
      </c>
      <c r="F91" s="1">
        <v>1.26E-2</v>
      </c>
      <c r="G91">
        <v>0.26</v>
      </c>
      <c r="H91">
        <v>8.02</v>
      </c>
      <c r="I91">
        <v>2.04</v>
      </c>
      <c r="J91">
        <v>-0.49</v>
      </c>
      <c r="K91">
        <v>4.2</v>
      </c>
      <c r="L91">
        <v>3.22</v>
      </c>
      <c r="M91" s="1">
        <v>7.3899999999999993E-2</v>
      </c>
      <c r="N91" s="1">
        <v>1.21E-2</v>
      </c>
      <c r="O91">
        <v>1.1100000000000001</v>
      </c>
      <c r="P91" s="1">
        <v>0.191</v>
      </c>
      <c r="Q91" s="1">
        <v>0.16470000000000001</v>
      </c>
      <c r="R91" s="3">
        <v>177904000</v>
      </c>
      <c r="S91" s="3">
        <v>5599000000</v>
      </c>
      <c r="T91">
        <v>2.96</v>
      </c>
      <c r="U91" s="1">
        <v>0.26219999999999999</v>
      </c>
      <c r="V91" s="4">
        <f t="shared" si="5"/>
        <v>1.0499999999999999E-3</v>
      </c>
      <c r="W91" s="5">
        <f t="shared" si="6"/>
        <v>6.0899999999999996E-2</v>
      </c>
      <c r="X91">
        <f t="shared" si="7"/>
        <v>954</v>
      </c>
      <c r="Y91" s="5">
        <f t="shared" si="8"/>
        <v>55332</v>
      </c>
      <c r="Z91" s="5">
        <f t="shared" si="9"/>
        <v>58.098599999999998</v>
      </c>
    </row>
    <row r="92" spans="1:26" x14ac:dyDescent="0.3">
      <c r="A92" t="s">
        <v>1369</v>
      </c>
      <c r="B92" s="5">
        <f>VLOOKUP(A92,Dim!A:B,2)</f>
        <v>29.95</v>
      </c>
      <c r="C92">
        <v>12.44</v>
      </c>
      <c r="D92">
        <v>3.89</v>
      </c>
      <c r="E92">
        <v>2.262</v>
      </c>
      <c r="F92" s="1">
        <v>6.6100000000000006E-2</v>
      </c>
      <c r="G92">
        <v>0.74199999999999999</v>
      </c>
      <c r="H92">
        <v>2.48</v>
      </c>
      <c r="I92">
        <v>9.8800000000000008</v>
      </c>
      <c r="J92">
        <v>-2.23</v>
      </c>
      <c r="K92">
        <v>9.8699999999999992</v>
      </c>
      <c r="L92">
        <v>9.1</v>
      </c>
      <c r="M92" s="1">
        <v>0.22900000000000001</v>
      </c>
      <c r="N92" s="1">
        <v>0.21110000000000001</v>
      </c>
      <c r="O92">
        <v>2.93</v>
      </c>
      <c r="P92" s="1">
        <v>9.35E-2</v>
      </c>
      <c r="Q92" s="1">
        <v>0.31319999999999998</v>
      </c>
      <c r="R92" s="3">
        <v>67308100</v>
      </c>
      <c r="S92" s="3">
        <v>2203630000</v>
      </c>
      <c r="T92">
        <v>0.96</v>
      </c>
      <c r="U92" s="1">
        <v>0.21970000000000001</v>
      </c>
      <c r="V92" s="4">
        <f t="shared" si="5"/>
        <v>5.5083333333333338E-3</v>
      </c>
      <c r="W92" s="5">
        <f t="shared" si="6"/>
        <v>0.16497458333333334</v>
      </c>
      <c r="X92">
        <f t="shared" si="7"/>
        <v>183</v>
      </c>
      <c r="Y92" s="5">
        <f t="shared" si="8"/>
        <v>5480.8499999999995</v>
      </c>
      <c r="Z92" s="5">
        <f t="shared" si="9"/>
        <v>30.190348750000002</v>
      </c>
    </row>
    <row r="93" spans="1:26" x14ac:dyDescent="0.3">
      <c r="A93" t="s">
        <v>1367</v>
      </c>
      <c r="B93" s="5">
        <f>VLOOKUP(A93,Dim!A:B,2)</f>
        <v>3.95</v>
      </c>
      <c r="C93">
        <v>12.4</v>
      </c>
      <c r="D93">
        <v>0.78</v>
      </c>
      <c r="E93">
        <v>0</v>
      </c>
      <c r="F93" s="1">
        <v>1.54E-2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 s="1">
        <v>0</v>
      </c>
      <c r="N93" s="1">
        <v>0</v>
      </c>
      <c r="O93">
        <v>0</v>
      </c>
      <c r="P93" s="1">
        <v>0</v>
      </c>
      <c r="Q93" s="1">
        <v>6.2799999999999995E-2</v>
      </c>
      <c r="R93">
        <v>53.47</v>
      </c>
      <c r="S93" s="3">
        <v>142483000</v>
      </c>
      <c r="T93">
        <v>0</v>
      </c>
      <c r="U93" s="1">
        <v>8.5000000000000006E-2</v>
      </c>
      <c r="V93" s="4">
        <f t="shared" si="5"/>
        <v>1.2833333333333334E-3</v>
      </c>
      <c r="W93" s="5">
        <f t="shared" si="6"/>
        <v>5.0691666666666671E-3</v>
      </c>
      <c r="X93">
        <f t="shared" si="7"/>
        <v>781</v>
      </c>
      <c r="Y93" s="5">
        <f t="shared" si="8"/>
        <v>3084.9500000000003</v>
      </c>
      <c r="Z93" s="5">
        <f t="shared" si="9"/>
        <v>3.9590191666666672</v>
      </c>
    </row>
    <row r="94" spans="1:26" x14ac:dyDescent="0.3">
      <c r="A94" t="s">
        <v>1366</v>
      </c>
      <c r="B94" s="5">
        <f>VLOOKUP(A94,Dim!A:B,2)</f>
        <v>51.8</v>
      </c>
      <c r="C94">
        <v>12.27</v>
      </c>
      <c r="D94">
        <v>3.02</v>
      </c>
      <c r="E94">
        <v>1.4610000000000001</v>
      </c>
      <c r="F94" s="1">
        <v>8.1000000000000003E-2</v>
      </c>
      <c r="G94">
        <v>0.84299999999999997</v>
      </c>
      <c r="H94">
        <v>10.52</v>
      </c>
      <c r="I94">
        <v>7.06</v>
      </c>
      <c r="J94">
        <v>-1.82</v>
      </c>
      <c r="K94">
        <v>10.48</v>
      </c>
      <c r="L94">
        <v>8.73</v>
      </c>
      <c r="M94" s="1">
        <v>0.2069</v>
      </c>
      <c r="N94" s="1">
        <v>0.1191</v>
      </c>
      <c r="O94">
        <v>1.45</v>
      </c>
      <c r="P94" s="1">
        <v>0.14080000000000001</v>
      </c>
      <c r="Q94" s="1">
        <v>0.24579999999999999</v>
      </c>
      <c r="R94" s="3">
        <v>19788.2</v>
      </c>
      <c r="S94" s="3">
        <v>4160620000</v>
      </c>
      <c r="T94">
        <v>1.84</v>
      </c>
      <c r="U94" s="1">
        <v>7.5499999999999998E-2</v>
      </c>
      <c r="V94" s="4">
        <f t="shared" si="5"/>
        <v>6.7499999999999999E-3</v>
      </c>
      <c r="W94" s="5">
        <f t="shared" si="6"/>
        <v>0.34964999999999996</v>
      </c>
      <c r="X94">
        <f t="shared" si="7"/>
        <v>150</v>
      </c>
      <c r="Y94" s="5">
        <f t="shared" si="8"/>
        <v>7770</v>
      </c>
      <c r="Z94" s="5">
        <f t="shared" si="9"/>
        <v>52.447499999999991</v>
      </c>
    </row>
    <row r="95" spans="1:26" x14ac:dyDescent="0.3">
      <c r="A95" t="s">
        <v>1365</v>
      </c>
      <c r="B95" s="5">
        <f>VLOOKUP(A95,Dim!A:B,2)</f>
        <v>29.49</v>
      </c>
      <c r="C95">
        <v>12.24</v>
      </c>
      <c r="D95">
        <v>5.49</v>
      </c>
      <c r="E95">
        <v>3.0219999999999998</v>
      </c>
      <c r="F95" s="1">
        <v>7.6300000000000007E-2</v>
      </c>
      <c r="G95">
        <v>3.35</v>
      </c>
      <c r="H95">
        <v>-36.479999999999997</v>
      </c>
      <c r="I95">
        <v>9.5299999999999994</v>
      </c>
      <c r="J95">
        <v>-22.01</v>
      </c>
      <c r="K95">
        <v>9.0299999999999994</v>
      </c>
      <c r="L95">
        <v>8.39</v>
      </c>
      <c r="M95" s="1">
        <v>0.31709999999999999</v>
      </c>
      <c r="N95" s="1">
        <v>0.24690000000000001</v>
      </c>
      <c r="O95">
        <v>0.72</v>
      </c>
      <c r="P95" s="1">
        <v>0.43940000000000001</v>
      </c>
      <c r="Q95" s="1">
        <v>0.44900000000000001</v>
      </c>
      <c r="R95" s="3">
        <v>18853300</v>
      </c>
      <c r="S95" s="3">
        <v>1291700000</v>
      </c>
      <c r="T95">
        <v>0</v>
      </c>
      <c r="U95" s="1">
        <v>7.4399999999999994E-2</v>
      </c>
      <c r="V95" s="4">
        <f t="shared" si="5"/>
        <v>6.3583333333333339E-3</v>
      </c>
      <c r="W95" s="5">
        <f t="shared" si="6"/>
        <v>0.18750725000000001</v>
      </c>
      <c r="X95">
        <f t="shared" si="7"/>
        <v>159</v>
      </c>
      <c r="Y95" s="5">
        <f t="shared" si="8"/>
        <v>4688.91</v>
      </c>
      <c r="Z95" s="5">
        <f t="shared" si="9"/>
        <v>29.813652750000003</v>
      </c>
    </row>
    <row r="96" spans="1:26" x14ac:dyDescent="0.3">
      <c r="A96" t="s">
        <v>1217</v>
      </c>
      <c r="B96" s="5">
        <f>VLOOKUP(A96,Dim!A:B,2)</f>
        <v>0</v>
      </c>
      <c r="C96">
        <v>7.97</v>
      </c>
      <c r="D96">
        <v>1.74</v>
      </c>
      <c r="E96">
        <v>0.54100000000000004</v>
      </c>
      <c r="F96" s="1">
        <v>1.2200000000000001E-2</v>
      </c>
      <c r="G96">
        <v>0.67400000000000004</v>
      </c>
      <c r="H96">
        <v>2.64</v>
      </c>
      <c r="I96">
        <v>7.01</v>
      </c>
      <c r="J96">
        <v>13.45</v>
      </c>
      <c r="K96">
        <v>9.01</v>
      </c>
      <c r="L96">
        <v>8.2100000000000009</v>
      </c>
      <c r="M96" s="1">
        <v>7.7200000000000005E-2</v>
      </c>
      <c r="N96" s="1">
        <v>6.7799999999999999E-2</v>
      </c>
      <c r="O96">
        <v>1.63</v>
      </c>
      <c r="P96" s="1">
        <v>0.15310000000000001</v>
      </c>
      <c r="Q96" s="1">
        <v>0.21820000000000001</v>
      </c>
      <c r="R96" s="3">
        <v>15043200</v>
      </c>
      <c r="S96" s="3">
        <v>4484860000</v>
      </c>
      <c r="T96">
        <v>0.91</v>
      </c>
      <c r="U96" s="1">
        <v>0.3382</v>
      </c>
      <c r="V96" s="4">
        <f t="shared" si="5"/>
        <v>1.0166666666666668E-3</v>
      </c>
      <c r="W96" s="5">
        <f t="shared" si="6"/>
        <v>0</v>
      </c>
      <c r="X96" t="e">
        <f t="shared" si="7"/>
        <v>#DIV/0!</v>
      </c>
      <c r="Y96" s="5" t="e">
        <f t="shared" si="8"/>
        <v>#DIV/0!</v>
      </c>
      <c r="Z96" s="5" t="e">
        <f t="shared" si="9"/>
        <v>#DIV/0!</v>
      </c>
    </row>
    <row r="97" spans="1:26" x14ac:dyDescent="0.3">
      <c r="A97" t="s">
        <v>1363</v>
      </c>
      <c r="B97" s="5">
        <f>VLOOKUP(A97,Dim!A:B,2)</f>
        <v>5.74</v>
      </c>
      <c r="C97">
        <v>12.16</v>
      </c>
      <c r="D97">
        <v>0.91</v>
      </c>
      <c r="E97">
        <v>0.49299999999999999</v>
      </c>
      <c r="F97" s="1">
        <v>1.17E-2</v>
      </c>
      <c r="G97">
        <v>0.37</v>
      </c>
      <c r="H97">
        <v>1.82</v>
      </c>
      <c r="I97">
        <v>5.28</v>
      </c>
      <c r="J97">
        <v>11.81</v>
      </c>
      <c r="K97">
        <v>6.09</v>
      </c>
      <c r="L97">
        <v>3.5</v>
      </c>
      <c r="M97" s="1">
        <v>9.3399999999999997E-2</v>
      </c>
      <c r="N97" s="1">
        <v>4.0500000000000001E-2</v>
      </c>
      <c r="O97">
        <v>1.48</v>
      </c>
      <c r="P97" s="1">
        <v>8.4699999999999998E-2</v>
      </c>
      <c r="Q97" s="1">
        <v>7.4499999999999997E-2</v>
      </c>
      <c r="R97" s="3">
        <v>10786500</v>
      </c>
      <c r="S97" s="3">
        <v>5527430000</v>
      </c>
      <c r="T97">
        <v>0.36</v>
      </c>
      <c r="U97" s="1">
        <v>0.10050000000000001</v>
      </c>
      <c r="V97" s="4">
        <f t="shared" si="5"/>
        <v>9.7500000000000006E-4</v>
      </c>
      <c r="W97" s="5">
        <f t="shared" si="6"/>
        <v>5.5965000000000008E-3</v>
      </c>
      <c r="X97">
        <f t="shared" si="7"/>
        <v>1027</v>
      </c>
      <c r="Y97" s="5">
        <f t="shared" si="8"/>
        <v>5894.9800000000005</v>
      </c>
      <c r="Z97" s="5">
        <f t="shared" si="9"/>
        <v>5.7476055000000006</v>
      </c>
    </row>
    <row r="98" spans="1:26" x14ac:dyDescent="0.3">
      <c r="A98" t="s">
        <v>683</v>
      </c>
      <c r="B98" s="5">
        <f>VLOOKUP(A98,Dim!A:B,2)</f>
        <v>0</v>
      </c>
      <c r="C98">
        <v>-20.18</v>
      </c>
      <c r="D98">
        <v>0.67</v>
      </c>
      <c r="E98">
        <v>0</v>
      </c>
      <c r="F98" s="1">
        <v>7.9299999999999995E-2</v>
      </c>
      <c r="G98">
        <v>0.66400000000000003</v>
      </c>
      <c r="H98">
        <v>5.28</v>
      </c>
      <c r="I98">
        <v>-364.12</v>
      </c>
      <c r="J98">
        <v>5.58</v>
      </c>
      <c r="K98">
        <v>-294.58999999999997</v>
      </c>
      <c r="L98">
        <v>-294.58999999999997</v>
      </c>
      <c r="M98" s="1">
        <v>0</v>
      </c>
      <c r="N98" s="1">
        <v>0</v>
      </c>
      <c r="O98">
        <v>28.89</v>
      </c>
      <c r="P98" s="1">
        <v>-2.0999999999999999E-3</v>
      </c>
      <c r="Q98" s="1">
        <v>-3.3300000000000003E-2</v>
      </c>
      <c r="R98">
        <v>679.23</v>
      </c>
      <c r="S98" s="3">
        <v>983532000</v>
      </c>
      <c r="T98">
        <v>0</v>
      </c>
      <c r="U98" s="1">
        <v>0</v>
      </c>
      <c r="V98" s="4">
        <f t="shared" si="5"/>
        <v>6.6083333333333332E-3</v>
      </c>
      <c r="W98" s="5">
        <f t="shared" si="6"/>
        <v>0</v>
      </c>
      <c r="X98" t="e">
        <f t="shared" si="7"/>
        <v>#DIV/0!</v>
      </c>
      <c r="Y98" s="5" t="e">
        <f t="shared" si="8"/>
        <v>#DIV/0!</v>
      </c>
      <c r="Z98" s="5" t="e">
        <f t="shared" si="9"/>
        <v>#DIV/0!</v>
      </c>
    </row>
    <row r="99" spans="1:26" x14ac:dyDescent="0.3">
      <c r="A99" t="s">
        <v>1182</v>
      </c>
      <c r="B99" s="5">
        <f>VLOOKUP(A99,Dim!A:B,2)</f>
        <v>0</v>
      </c>
      <c r="C99">
        <v>7.04</v>
      </c>
      <c r="D99">
        <v>2.95</v>
      </c>
      <c r="E99">
        <v>0.501</v>
      </c>
      <c r="F99" s="1">
        <v>0.1825</v>
      </c>
      <c r="G99">
        <v>0.66</v>
      </c>
      <c r="H99">
        <v>-40.380000000000003</v>
      </c>
      <c r="I99">
        <v>5.14</v>
      </c>
      <c r="J99">
        <v>-6.63</v>
      </c>
      <c r="K99">
        <v>4.7</v>
      </c>
      <c r="L99">
        <v>3.92</v>
      </c>
      <c r="M99" s="1">
        <v>9.74E-2</v>
      </c>
      <c r="N99" s="1">
        <v>7.1199999999999999E-2</v>
      </c>
      <c r="O99">
        <v>0.98</v>
      </c>
      <c r="P99" s="1">
        <v>0.33610000000000001</v>
      </c>
      <c r="Q99" s="1">
        <v>0.41959999999999997</v>
      </c>
      <c r="R99" s="3">
        <v>27159.7</v>
      </c>
      <c r="S99" s="3">
        <v>2227520000</v>
      </c>
      <c r="T99">
        <v>0.82</v>
      </c>
      <c r="U99" s="1">
        <v>4.3400000000000001E-2</v>
      </c>
      <c r="V99" s="4">
        <f t="shared" si="5"/>
        <v>1.5208333333333332E-2</v>
      </c>
      <c r="W99" s="5">
        <f t="shared" si="6"/>
        <v>0</v>
      </c>
      <c r="X99" t="e">
        <f t="shared" si="7"/>
        <v>#DIV/0!</v>
      </c>
      <c r="Y99" s="5" t="e">
        <f t="shared" si="8"/>
        <v>#DIV/0!</v>
      </c>
      <c r="Z99" s="5" t="e">
        <f t="shared" si="9"/>
        <v>#DIV/0!</v>
      </c>
    </row>
    <row r="100" spans="1:26" x14ac:dyDescent="0.3">
      <c r="A100" t="s">
        <v>1361</v>
      </c>
      <c r="B100" s="5">
        <f>VLOOKUP(A100,Dim!A:B,2)</f>
        <v>5.74</v>
      </c>
      <c r="C100">
        <v>12.03</v>
      </c>
      <c r="D100">
        <v>2.59</v>
      </c>
      <c r="E100">
        <v>2.0099999999999998</v>
      </c>
      <c r="F100" s="1">
        <v>7.5899999999999995E-2</v>
      </c>
      <c r="G100">
        <v>0.89900000000000002</v>
      </c>
      <c r="H100">
        <v>9.59</v>
      </c>
      <c r="I100">
        <v>5.13</v>
      </c>
      <c r="J100">
        <v>-2.54</v>
      </c>
      <c r="K100">
        <v>7.17</v>
      </c>
      <c r="L100">
        <v>5.29</v>
      </c>
      <c r="M100" s="1">
        <v>0.39179999999999998</v>
      </c>
      <c r="N100" s="1">
        <v>0.16750000000000001</v>
      </c>
      <c r="O100">
        <v>1.46</v>
      </c>
      <c r="P100" s="1">
        <v>0.22950000000000001</v>
      </c>
      <c r="Q100" s="1">
        <v>0.2157</v>
      </c>
      <c r="R100">
        <v>0</v>
      </c>
      <c r="S100" s="3">
        <v>14149000000</v>
      </c>
      <c r="T100">
        <v>1.46</v>
      </c>
      <c r="U100" s="1">
        <v>0.2271</v>
      </c>
      <c r="V100" s="4">
        <f t="shared" si="5"/>
        <v>6.3249999999999999E-3</v>
      </c>
      <c r="W100" s="5">
        <f t="shared" si="6"/>
        <v>3.6305499999999997E-2</v>
      </c>
      <c r="X100">
        <f t="shared" si="7"/>
        <v>160</v>
      </c>
      <c r="Y100" s="5">
        <f t="shared" si="8"/>
        <v>918.40000000000009</v>
      </c>
      <c r="Z100" s="5">
        <f t="shared" si="9"/>
        <v>5.8088799999999994</v>
      </c>
    </row>
    <row r="101" spans="1:26" x14ac:dyDescent="0.3">
      <c r="A101" t="s">
        <v>1360</v>
      </c>
      <c r="B101" s="5">
        <f>VLOOKUP(A101,Dim!A:B,2)</f>
        <v>29.49</v>
      </c>
      <c r="C101">
        <v>11.98</v>
      </c>
      <c r="D101">
        <v>1.1399999999999999</v>
      </c>
      <c r="E101">
        <v>0.27300000000000002</v>
      </c>
      <c r="F101" s="1">
        <v>3.1300000000000001E-2</v>
      </c>
      <c r="G101">
        <v>0.42299999999999999</v>
      </c>
      <c r="H101">
        <v>1.71</v>
      </c>
      <c r="I101">
        <v>7.22</v>
      </c>
      <c r="J101">
        <v>-7.89</v>
      </c>
      <c r="K101">
        <v>12.5</v>
      </c>
      <c r="L101">
        <v>5.84</v>
      </c>
      <c r="M101" s="1">
        <v>3.78E-2</v>
      </c>
      <c r="N101" s="1">
        <v>2.2800000000000001E-2</v>
      </c>
      <c r="O101">
        <v>1.75</v>
      </c>
      <c r="P101" s="1">
        <v>7.6899999999999996E-2</v>
      </c>
      <c r="Q101" s="1">
        <v>9.5100000000000004E-2</v>
      </c>
      <c r="R101" s="3">
        <v>2582290</v>
      </c>
      <c r="S101" s="3">
        <v>1234100000</v>
      </c>
      <c r="T101">
        <v>0.99</v>
      </c>
      <c r="U101" s="1">
        <v>0.1429</v>
      </c>
      <c r="V101" s="4">
        <f t="shared" si="5"/>
        <v>2.6083333333333336E-3</v>
      </c>
      <c r="W101" s="5">
        <f t="shared" si="6"/>
        <v>7.6919750000000009E-2</v>
      </c>
      <c r="X101">
        <f t="shared" si="7"/>
        <v>385</v>
      </c>
      <c r="Y101" s="5">
        <f t="shared" si="8"/>
        <v>11353.65</v>
      </c>
      <c r="Z101" s="5">
        <f t="shared" si="9"/>
        <v>29.614103750000002</v>
      </c>
    </row>
    <row r="102" spans="1:26" x14ac:dyDescent="0.3">
      <c r="A102" t="s">
        <v>1357</v>
      </c>
      <c r="B102" s="5">
        <f>VLOOKUP(A102,Dim!A:B,2)</f>
        <v>5.74</v>
      </c>
      <c r="C102">
        <v>11.86</v>
      </c>
      <c r="D102">
        <v>0.71</v>
      </c>
      <c r="E102">
        <v>0.56100000000000005</v>
      </c>
      <c r="F102" s="1">
        <v>3.4299999999999997E-2</v>
      </c>
      <c r="G102">
        <v>0.44600000000000001</v>
      </c>
      <c r="H102">
        <v>1.78</v>
      </c>
      <c r="I102">
        <v>6.12</v>
      </c>
      <c r="J102">
        <v>24.58</v>
      </c>
      <c r="K102">
        <v>7.55</v>
      </c>
      <c r="L102">
        <v>4.9000000000000004</v>
      </c>
      <c r="M102" s="1">
        <v>9.1700000000000004E-2</v>
      </c>
      <c r="N102" s="1">
        <v>4.7800000000000002E-2</v>
      </c>
      <c r="O102">
        <v>2.89</v>
      </c>
      <c r="P102" s="1">
        <v>8.77E-2</v>
      </c>
      <c r="Q102" s="1">
        <v>5.9499999999999997E-2</v>
      </c>
      <c r="R102" s="3">
        <v>168076000</v>
      </c>
      <c r="S102" s="3">
        <v>54923000000</v>
      </c>
      <c r="T102">
        <v>0.33</v>
      </c>
      <c r="U102" s="1">
        <v>-4.8999999999999998E-3</v>
      </c>
      <c r="V102" s="4">
        <f t="shared" si="5"/>
        <v>2.858333333333333E-3</v>
      </c>
      <c r="W102" s="5">
        <f t="shared" si="6"/>
        <v>1.6406833333333332E-2</v>
      </c>
      <c r="X102">
        <f t="shared" si="7"/>
        <v>351</v>
      </c>
      <c r="Y102" s="5">
        <f t="shared" si="8"/>
        <v>2014.74</v>
      </c>
      <c r="Z102" s="5">
        <f t="shared" si="9"/>
        <v>5.7587984999999993</v>
      </c>
    </row>
    <row r="103" spans="1:26" x14ac:dyDescent="0.3">
      <c r="A103" t="s">
        <v>1355</v>
      </c>
      <c r="B103" s="5">
        <f>VLOOKUP(A103,Dim!A:B,2)</f>
        <v>29.49</v>
      </c>
      <c r="C103">
        <v>11.82</v>
      </c>
      <c r="D103">
        <v>3.15</v>
      </c>
      <c r="E103">
        <v>2.6219999999999999</v>
      </c>
      <c r="F103" s="1">
        <v>4.1300000000000003E-2</v>
      </c>
      <c r="G103">
        <v>1.306</v>
      </c>
      <c r="H103">
        <v>-52.89</v>
      </c>
      <c r="I103">
        <v>8.84</v>
      </c>
      <c r="J103">
        <v>-2.98</v>
      </c>
      <c r="K103">
        <v>11.42</v>
      </c>
      <c r="L103">
        <v>8.36</v>
      </c>
      <c r="M103" s="1">
        <v>0.2964</v>
      </c>
      <c r="N103" s="1">
        <v>0.22409999999999999</v>
      </c>
      <c r="O103">
        <v>0.86</v>
      </c>
      <c r="P103" s="1">
        <v>0.15989999999999999</v>
      </c>
      <c r="Q103" s="1">
        <v>0.26690000000000003</v>
      </c>
      <c r="R103" s="3">
        <v>25740900</v>
      </c>
      <c r="S103" s="3">
        <v>2601000000</v>
      </c>
      <c r="T103">
        <v>1.03</v>
      </c>
      <c r="U103" s="1">
        <v>5.5399999999999998E-2</v>
      </c>
      <c r="V103" s="4">
        <f t="shared" si="5"/>
        <v>3.4416666666666671E-3</v>
      </c>
      <c r="W103" s="5">
        <f t="shared" si="6"/>
        <v>0.10149475000000001</v>
      </c>
      <c r="X103">
        <f t="shared" si="7"/>
        <v>292</v>
      </c>
      <c r="Y103" s="5">
        <f t="shared" si="8"/>
        <v>8611.08</v>
      </c>
      <c r="Z103" s="5">
        <f t="shared" si="9"/>
        <v>29.636467000000003</v>
      </c>
    </row>
    <row r="104" spans="1:26" x14ac:dyDescent="0.3">
      <c r="A104" t="s">
        <v>1352</v>
      </c>
      <c r="B104" s="5">
        <f>VLOOKUP(A104,Dim!A:B,2)</f>
        <v>51.8</v>
      </c>
      <c r="C104">
        <v>11.77</v>
      </c>
      <c r="D104">
        <v>2.89</v>
      </c>
      <c r="E104">
        <v>1.4019999999999999</v>
      </c>
      <c r="F104" s="1">
        <v>8.4400000000000003E-2</v>
      </c>
      <c r="G104">
        <v>0.80800000000000005</v>
      </c>
      <c r="H104">
        <v>10.09</v>
      </c>
      <c r="I104">
        <v>6.78</v>
      </c>
      <c r="J104">
        <v>-1.75</v>
      </c>
      <c r="K104">
        <v>10.199999999999999</v>
      </c>
      <c r="L104">
        <v>8.49</v>
      </c>
      <c r="M104" s="1">
        <v>0.2069</v>
      </c>
      <c r="N104" s="1">
        <v>0.1191</v>
      </c>
      <c r="O104">
        <v>1.45</v>
      </c>
      <c r="P104" s="1">
        <v>0.14080000000000001</v>
      </c>
      <c r="Q104" s="1">
        <v>0.24579999999999999</v>
      </c>
      <c r="R104" s="3">
        <v>6768.12</v>
      </c>
      <c r="S104" s="3">
        <v>4160620000</v>
      </c>
      <c r="T104">
        <v>1.84</v>
      </c>
      <c r="U104" s="1">
        <v>7.5499999999999998E-2</v>
      </c>
      <c r="V104" s="4">
        <f t="shared" si="5"/>
        <v>7.0333333333333333E-3</v>
      </c>
      <c r="W104" s="5">
        <f t="shared" si="6"/>
        <v>0.36432666666666663</v>
      </c>
      <c r="X104">
        <f t="shared" si="7"/>
        <v>144</v>
      </c>
      <c r="Y104" s="5">
        <f t="shared" si="8"/>
        <v>7459.2</v>
      </c>
      <c r="Z104" s="5">
        <f t="shared" si="9"/>
        <v>52.463039999999992</v>
      </c>
    </row>
    <row r="105" spans="1:26" x14ac:dyDescent="0.3">
      <c r="A105" t="s">
        <v>1152</v>
      </c>
      <c r="B105" s="5">
        <f>VLOOKUP(A105,Dim!A:B,2)</f>
        <v>0</v>
      </c>
      <c r="C105">
        <v>6.32</v>
      </c>
      <c r="D105">
        <v>1.02</v>
      </c>
      <c r="E105">
        <v>0.82199999999999995</v>
      </c>
      <c r="F105" s="1">
        <v>0.10440000000000001</v>
      </c>
      <c r="G105">
        <v>0.62</v>
      </c>
      <c r="H105">
        <v>1.87</v>
      </c>
      <c r="I105">
        <v>5.26</v>
      </c>
      <c r="J105">
        <v>5.94</v>
      </c>
      <c r="K105">
        <v>5.44</v>
      </c>
      <c r="L105">
        <v>4.16</v>
      </c>
      <c r="M105" s="1">
        <v>0.15609999999999999</v>
      </c>
      <c r="N105" s="1">
        <v>0.1305</v>
      </c>
      <c r="O105">
        <v>3.04</v>
      </c>
      <c r="P105" s="1">
        <v>0.155</v>
      </c>
      <c r="Q105" s="1">
        <v>0.16120000000000001</v>
      </c>
      <c r="R105" s="3">
        <v>5008490</v>
      </c>
      <c r="S105" s="3">
        <v>1742330000</v>
      </c>
      <c r="T105">
        <v>0.33</v>
      </c>
      <c r="U105" s="1">
        <v>5.7000000000000002E-3</v>
      </c>
      <c r="V105" s="4">
        <f t="shared" si="5"/>
        <v>8.7000000000000011E-3</v>
      </c>
      <c r="W105" s="5">
        <f t="shared" si="6"/>
        <v>0</v>
      </c>
      <c r="X105" t="e">
        <f t="shared" si="7"/>
        <v>#DIV/0!</v>
      </c>
      <c r="Y105" s="5" t="e">
        <f t="shared" si="8"/>
        <v>#DIV/0!</v>
      </c>
      <c r="Z105" s="5" t="e">
        <f t="shared" si="9"/>
        <v>#DIV/0!</v>
      </c>
    </row>
    <row r="106" spans="1:26" x14ac:dyDescent="0.3">
      <c r="A106" t="s">
        <v>1351</v>
      </c>
      <c r="B106" s="5">
        <f>VLOOKUP(A106,Dim!A:B,2)</f>
        <v>18.149999999999999</v>
      </c>
      <c r="C106">
        <v>11.77</v>
      </c>
      <c r="D106">
        <v>0.56000000000000005</v>
      </c>
      <c r="E106">
        <v>0.16400000000000001</v>
      </c>
      <c r="F106" s="1">
        <v>5.2999999999999999E-2</v>
      </c>
      <c r="G106">
        <v>0.17100000000000001</v>
      </c>
      <c r="H106">
        <v>0.9</v>
      </c>
      <c r="I106">
        <v>3.73</v>
      </c>
      <c r="J106">
        <v>-1.25</v>
      </c>
      <c r="K106">
        <v>10.9</v>
      </c>
      <c r="L106">
        <v>7.18</v>
      </c>
      <c r="M106" s="1">
        <v>4.41E-2</v>
      </c>
      <c r="N106" s="1">
        <v>1.4E-2</v>
      </c>
      <c r="O106">
        <v>1.51</v>
      </c>
      <c r="P106" s="1">
        <v>6.4399999999999999E-2</v>
      </c>
      <c r="Q106" s="1">
        <v>4.7899999999999998E-2</v>
      </c>
      <c r="R106" s="3">
        <v>5102530</v>
      </c>
      <c r="S106" s="3">
        <v>3429760000</v>
      </c>
      <c r="T106">
        <v>1.64</v>
      </c>
      <c r="U106" s="1">
        <v>9.4700000000000006E-2</v>
      </c>
      <c r="V106" s="4">
        <f t="shared" si="5"/>
        <v>4.4166666666666668E-3</v>
      </c>
      <c r="W106" s="5">
        <f t="shared" si="6"/>
        <v>8.0162499999999998E-2</v>
      </c>
      <c r="X106">
        <f t="shared" si="7"/>
        <v>228</v>
      </c>
      <c r="Y106" s="5">
        <f t="shared" si="8"/>
        <v>4138.2</v>
      </c>
      <c r="Z106" s="5">
        <f t="shared" si="9"/>
        <v>18.277049999999999</v>
      </c>
    </row>
    <row r="107" spans="1:26" x14ac:dyDescent="0.3">
      <c r="A107" t="s">
        <v>1345</v>
      </c>
      <c r="B107" s="5">
        <f>VLOOKUP(A107,Dim!A:B,2)</f>
        <v>5.74</v>
      </c>
      <c r="C107">
        <v>11.33</v>
      </c>
      <c r="D107">
        <v>1.51</v>
      </c>
      <c r="E107">
        <v>1.0049999999999999</v>
      </c>
      <c r="F107" s="1">
        <v>5.3400000000000003E-2</v>
      </c>
      <c r="G107">
        <v>0.82799999999999996</v>
      </c>
      <c r="H107">
        <v>3.31</v>
      </c>
      <c r="I107">
        <v>4.5199999999999996</v>
      </c>
      <c r="J107">
        <v>6.06</v>
      </c>
      <c r="K107">
        <v>4.17</v>
      </c>
      <c r="L107">
        <v>3.04</v>
      </c>
      <c r="M107" s="1">
        <v>0.2225</v>
      </c>
      <c r="N107" s="1">
        <v>8.8599999999999998E-2</v>
      </c>
      <c r="O107">
        <v>1.74</v>
      </c>
      <c r="P107" s="1">
        <v>0.21990000000000001</v>
      </c>
      <c r="Q107" s="1">
        <v>0.1328</v>
      </c>
      <c r="R107" s="3">
        <v>222913000</v>
      </c>
      <c r="S107" s="3">
        <v>10300500000</v>
      </c>
      <c r="T107">
        <v>0.06</v>
      </c>
      <c r="U107" s="1">
        <v>0.1244</v>
      </c>
      <c r="V107" s="4">
        <f t="shared" si="5"/>
        <v>4.45E-3</v>
      </c>
      <c r="W107" s="5">
        <f t="shared" si="6"/>
        <v>2.5543E-2</v>
      </c>
      <c r="X107">
        <f t="shared" si="7"/>
        <v>226</v>
      </c>
      <c r="Y107" s="5">
        <f t="shared" si="8"/>
        <v>1297.24</v>
      </c>
      <c r="Z107" s="5">
        <f t="shared" si="9"/>
        <v>5.7727180000000002</v>
      </c>
    </row>
    <row r="108" spans="1:26" x14ac:dyDescent="0.3">
      <c r="A108" t="s">
        <v>1342</v>
      </c>
      <c r="B108" s="5">
        <f>VLOOKUP(A108,Dim!A:B,2)</f>
        <v>22.54</v>
      </c>
      <c r="C108">
        <v>11.27</v>
      </c>
      <c r="D108">
        <v>2.52</v>
      </c>
      <c r="E108">
        <v>5.7809999999999997</v>
      </c>
      <c r="F108" s="1">
        <v>0.10680000000000001</v>
      </c>
      <c r="G108">
        <v>0.13100000000000001</v>
      </c>
      <c r="H108">
        <v>3.08</v>
      </c>
      <c r="I108">
        <v>139.35</v>
      </c>
      <c r="J108">
        <v>3.08</v>
      </c>
      <c r="K108">
        <v>51.96</v>
      </c>
      <c r="L108">
        <v>32.78</v>
      </c>
      <c r="M108" s="1">
        <v>4.1500000000000002E-2</v>
      </c>
      <c r="N108" s="1">
        <v>0.51300000000000001</v>
      </c>
      <c r="O108">
        <v>1.04</v>
      </c>
      <c r="P108" s="1">
        <v>8.6900000000000005E-2</v>
      </c>
      <c r="Q108" s="1">
        <v>0.22370000000000001</v>
      </c>
      <c r="R108" s="3">
        <v>5716550</v>
      </c>
      <c r="S108" s="3">
        <v>807141000</v>
      </c>
      <c r="T108">
        <v>17.39</v>
      </c>
      <c r="U108" s="1">
        <v>-0.39839999999999998</v>
      </c>
      <c r="V108" s="4">
        <f t="shared" si="5"/>
        <v>8.8999999999999999E-3</v>
      </c>
      <c r="W108" s="5">
        <f t="shared" si="6"/>
        <v>0.20060599999999998</v>
      </c>
      <c r="X108">
        <f t="shared" si="7"/>
        <v>114</v>
      </c>
      <c r="Y108" s="5">
        <f t="shared" si="8"/>
        <v>2569.56</v>
      </c>
      <c r="Z108" s="5">
        <f t="shared" si="9"/>
        <v>22.869083999999997</v>
      </c>
    </row>
    <row r="109" spans="1:26" x14ac:dyDescent="0.3">
      <c r="A109" t="s">
        <v>1338</v>
      </c>
      <c r="B109" s="5">
        <f>VLOOKUP(A109,Dim!A:B,2)</f>
        <v>58</v>
      </c>
      <c r="C109">
        <v>11.19</v>
      </c>
      <c r="D109">
        <v>1.35</v>
      </c>
      <c r="E109">
        <v>2.6859999999999999</v>
      </c>
      <c r="F109" s="1">
        <v>2.5000000000000001E-2</v>
      </c>
      <c r="G109">
        <v>0.37</v>
      </c>
      <c r="H109">
        <v>3.33</v>
      </c>
      <c r="I109">
        <v>4.1399999999999997</v>
      </c>
      <c r="J109">
        <v>-0.91</v>
      </c>
      <c r="K109">
        <v>7.38</v>
      </c>
      <c r="L109">
        <v>6.93</v>
      </c>
      <c r="M109" s="1">
        <v>0.64890000000000003</v>
      </c>
      <c r="N109" s="1">
        <v>0.42399999999999999</v>
      </c>
      <c r="O109">
        <v>2.13</v>
      </c>
      <c r="P109" s="1">
        <v>0.1023</v>
      </c>
      <c r="Q109" s="1">
        <v>0.1211</v>
      </c>
      <c r="R109" s="3">
        <v>75498.600000000006</v>
      </c>
      <c r="S109" s="3">
        <v>8570260000</v>
      </c>
      <c r="T109">
        <v>1.49</v>
      </c>
      <c r="U109" s="1">
        <v>-0.11550000000000001</v>
      </c>
      <c r="V109" s="4">
        <f t="shared" si="5"/>
        <v>2.0833333333333333E-3</v>
      </c>
      <c r="W109" s="5">
        <f t="shared" si="6"/>
        <v>0.12083333333333333</v>
      </c>
      <c r="X109">
        <f t="shared" si="7"/>
        <v>481</v>
      </c>
      <c r="Y109" s="5">
        <f t="shared" si="8"/>
        <v>27898</v>
      </c>
      <c r="Z109" s="5">
        <f t="shared" si="9"/>
        <v>58.120833333333337</v>
      </c>
    </row>
    <row r="110" spans="1:26" x14ac:dyDescent="0.3">
      <c r="A110" t="s">
        <v>1336</v>
      </c>
      <c r="B110" s="5">
        <f>VLOOKUP(A110,Dim!A:B,2)</f>
        <v>29.49</v>
      </c>
      <c r="C110">
        <v>11.12</v>
      </c>
      <c r="D110">
        <v>1.1599999999999999</v>
      </c>
      <c r="E110">
        <v>0.41599999999999998</v>
      </c>
      <c r="F110" s="1">
        <v>7.2499999999999995E-2</v>
      </c>
      <c r="G110">
        <v>0.59199999999999997</v>
      </c>
      <c r="H110">
        <v>1.49</v>
      </c>
      <c r="I110">
        <v>7.88</v>
      </c>
      <c r="J110">
        <v>2.56</v>
      </c>
      <c r="K110">
        <v>7.96</v>
      </c>
      <c r="L110">
        <v>6.97</v>
      </c>
      <c r="M110" s="1">
        <v>5.28E-2</v>
      </c>
      <c r="N110" s="1">
        <v>3.7400000000000003E-2</v>
      </c>
      <c r="O110">
        <v>2.2200000000000002</v>
      </c>
      <c r="P110" s="1">
        <v>0.13420000000000001</v>
      </c>
      <c r="Q110" s="1">
        <v>0.1042</v>
      </c>
      <c r="R110" s="3">
        <v>3652.21</v>
      </c>
      <c r="S110" s="3">
        <v>773997000</v>
      </c>
      <c r="T110">
        <v>0.52</v>
      </c>
      <c r="U110" s="1">
        <v>-4.2000000000000003E-2</v>
      </c>
      <c r="V110" s="4">
        <f t="shared" si="5"/>
        <v>6.0416666666666665E-3</v>
      </c>
      <c r="W110" s="5">
        <f t="shared" si="6"/>
        <v>0.17816874999999999</v>
      </c>
      <c r="X110">
        <f t="shared" si="7"/>
        <v>167</v>
      </c>
      <c r="Y110" s="5">
        <f t="shared" si="8"/>
        <v>4924.83</v>
      </c>
      <c r="Z110" s="5">
        <f t="shared" si="9"/>
        <v>29.754181249999998</v>
      </c>
    </row>
    <row r="111" spans="1:26" x14ac:dyDescent="0.3">
      <c r="A111" t="s">
        <v>1333</v>
      </c>
      <c r="B111" s="5">
        <f>VLOOKUP(A111,Dim!A:B,2)</f>
        <v>5.74</v>
      </c>
      <c r="C111">
        <v>11.05</v>
      </c>
      <c r="D111">
        <v>2.41</v>
      </c>
      <c r="E111">
        <v>5.2779999999999996</v>
      </c>
      <c r="F111" s="1">
        <v>4.9299999999999997E-2</v>
      </c>
      <c r="G111">
        <v>1.1579999999999999</v>
      </c>
      <c r="H111">
        <v>33.479999999999997</v>
      </c>
      <c r="I111">
        <v>7.5</v>
      </c>
      <c r="J111">
        <v>-3.11</v>
      </c>
      <c r="K111">
        <v>9.81</v>
      </c>
      <c r="L111">
        <v>9.1300000000000008</v>
      </c>
      <c r="M111" s="1">
        <v>0.70330000000000004</v>
      </c>
      <c r="N111" s="1">
        <v>0.4778</v>
      </c>
      <c r="O111">
        <v>1.31</v>
      </c>
      <c r="P111" s="1">
        <v>0.1671</v>
      </c>
      <c r="Q111" s="1">
        <v>0.2185</v>
      </c>
      <c r="R111" s="3">
        <v>91777600</v>
      </c>
      <c r="S111" s="3">
        <v>5905050000</v>
      </c>
      <c r="T111">
        <v>0.87</v>
      </c>
      <c r="U111" s="1">
        <v>0.2462</v>
      </c>
      <c r="V111" s="4">
        <f t="shared" si="5"/>
        <v>4.1083333333333328E-3</v>
      </c>
      <c r="W111" s="5">
        <f t="shared" si="6"/>
        <v>2.358183333333333E-2</v>
      </c>
      <c r="X111">
        <f t="shared" si="7"/>
        <v>245</v>
      </c>
      <c r="Y111" s="5">
        <f t="shared" si="8"/>
        <v>1406.3</v>
      </c>
      <c r="Z111" s="5">
        <f t="shared" si="9"/>
        <v>5.7775491666666658</v>
      </c>
    </row>
    <row r="112" spans="1:26" x14ac:dyDescent="0.3">
      <c r="A112" t="s">
        <v>1195</v>
      </c>
      <c r="B112" s="5">
        <f>VLOOKUP(A112,Dim!A:B,2)</f>
        <v>0</v>
      </c>
      <c r="C112">
        <v>7.29</v>
      </c>
      <c r="D112">
        <v>1.72</v>
      </c>
      <c r="E112">
        <v>3.024</v>
      </c>
      <c r="F112" s="1">
        <v>7.8100000000000003E-2</v>
      </c>
      <c r="G112">
        <v>0.60699999999999998</v>
      </c>
      <c r="H112">
        <v>21.33</v>
      </c>
      <c r="I112">
        <v>5.48</v>
      </c>
      <c r="J112">
        <v>-1.22</v>
      </c>
      <c r="K112">
        <v>9.44</v>
      </c>
      <c r="L112">
        <v>9.31</v>
      </c>
      <c r="M112" s="1">
        <v>0.5514</v>
      </c>
      <c r="N112" s="1">
        <v>0.4148</v>
      </c>
      <c r="O112">
        <v>1.24</v>
      </c>
      <c r="P112" s="1">
        <v>0.1169</v>
      </c>
      <c r="Q112" s="1">
        <v>0.2354</v>
      </c>
      <c r="R112" s="3">
        <v>1528630</v>
      </c>
      <c r="S112" s="3">
        <v>7612370000</v>
      </c>
      <c r="T112">
        <v>1.35</v>
      </c>
      <c r="U112" s="1">
        <v>2.9000000000000001E-2</v>
      </c>
      <c r="V112" s="4">
        <f t="shared" si="5"/>
        <v>6.5083333333333339E-3</v>
      </c>
      <c r="W112" s="5">
        <f t="shared" si="6"/>
        <v>0</v>
      </c>
      <c r="X112" t="e">
        <f t="shared" si="7"/>
        <v>#DIV/0!</v>
      </c>
      <c r="Y112" s="5" t="e">
        <f t="shared" si="8"/>
        <v>#DIV/0!</v>
      </c>
      <c r="Z112" s="5" t="e">
        <f t="shared" si="9"/>
        <v>#DIV/0!</v>
      </c>
    </row>
    <row r="113" spans="1:26" x14ac:dyDescent="0.3">
      <c r="A113" t="s">
        <v>1332</v>
      </c>
      <c r="B113" s="5">
        <f>VLOOKUP(A113,Dim!A:B,2)</f>
        <v>5.74</v>
      </c>
      <c r="C113">
        <v>11.03</v>
      </c>
      <c r="D113">
        <v>0.38</v>
      </c>
      <c r="E113">
        <v>0.44800000000000001</v>
      </c>
      <c r="F113" s="1">
        <v>2.4400000000000002E-2</v>
      </c>
      <c r="G113">
        <v>8.5999999999999993E-2</v>
      </c>
      <c r="H113">
        <v>0.31</v>
      </c>
      <c r="I113">
        <v>2.85</v>
      </c>
      <c r="J113">
        <v>-1.2</v>
      </c>
      <c r="K113">
        <v>10.72</v>
      </c>
      <c r="L113">
        <v>9.69</v>
      </c>
      <c r="M113" s="1">
        <v>0.15720000000000001</v>
      </c>
      <c r="N113" s="1">
        <v>0.12470000000000001</v>
      </c>
      <c r="O113">
        <v>2.31</v>
      </c>
      <c r="P113" s="1">
        <v>3.1600000000000003E-2</v>
      </c>
      <c r="Q113" s="1">
        <v>3.44E-2</v>
      </c>
      <c r="R113" s="3">
        <v>7010490</v>
      </c>
      <c r="S113" s="3">
        <v>1461370000</v>
      </c>
      <c r="T113">
        <v>1.19</v>
      </c>
      <c r="U113" s="1">
        <v>7.6999999999999999E-2</v>
      </c>
      <c r="V113" s="4">
        <f t="shared" si="5"/>
        <v>2.0333333333333336E-3</v>
      </c>
      <c r="W113" s="5">
        <f t="shared" si="6"/>
        <v>1.1671333333333336E-2</v>
      </c>
      <c r="X113">
        <f t="shared" si="7"/>
        <v>493</v>
      </c>
      <c r="Y113" s="5">
        <f t="shared" si="8"/>
        <v>2829.82</v>
      </c>
      <c r="Z113" s="5">
        <f t="shared" si="9"/>
        <v>5.7539673333333345</v>
      </c>
    </row>
    <row r="114" spans="1:26" x14ac:dyDescent="0.3">
      <c r="A114" t="s">
        <v>1331</v>
      </c>
      <c r="B114" s="5">
        <f>VLOOKUP(A114,Dim!A:B,2)</f>
        <v>5.74</v>
      </c>
      <c r="C114">
        <v>10.87</v>
      </c>
      <c r="D114">
        <v>2.02</v>
      </c>
      <c r="E114">
        <v>1.4410000000000001</v>
      </c>
      <c r="F114" s="1">
        <v>3.15E-2</v>
      </c>
      <c r="G114">
        <v>0.46700000000000003</v>
      </c>
      <c r="H114">
        <v>5.74</v>
      </c>
      <c r="I114">
        <v>4.26</v>
      </c>
      <c r="J114">
        <v>-0.79</v>
      </c>
      <c r="K114">
        <v>8.67</v>
      </c>
      <c r="L114">
        <v>7.02</v>
      </c>
      <c r="M114" s="1">
        <v>0.3382</v>
      </c>
      <c r="N114" s="1">
        <v>0.14130000000000001</v>
      </c>
      <c r="O114">
        <v>1.89</v>
      </c>
      <c r="P114" s="1">
        <v>0.126</v>
      </c>
      <c r="Q114" s="1">
        <v>0.186</v>
      </c>
      <c r="R114" s="3">
        <v>117777000</v>
      </c>
      <c r="S114" s="3">
        <v>15545900000</v>
      </c>
      <c r="T114">
        <v>2.59</v>
      </c>
      <c r="U114" s="1">
        <v>0.14580000000000001</v>
      </c>
      <c r="V114" s="4">
        <f t="shared" si="5"/>
        <v>2.6250000000000002E-3</v>
      </c>
      <c r="W114" s="5">
        <f t="shared" si="6"/>
        <v>1.5067500000000001E-2</v>
      </c>
      <c r="X114">
        <f t="shared" si="7"/>
        <v>382</v>
      </c>
      <c r="Y114" s="5">
        <f t="shared" si="8"/>
        <v>2192.6800000000003</v>
      </c>
      <c r="Z114" s="5">
        <f t="shared" si="9"/>
        <v>5.7557850000000004</v>
      </c>
    </row>
    <row r="115" spans="1:26" x14ac:dyDescent="0.3">
      <c r="A115" t="s">
        <v>1149</v>
      </c>
      <c r="B115" s="5">
        <f>VLOOKUP(A115,Dim!A:B,2)</f>
        <v>0</v>
      </c>
      <c r="C115">
        <v>6.29</v>
      </c>
      <c r="D115">
        <v>1.1200000000000001</v>
      </c>
      <c r="E115">
        <v>0.84199999999999997</v>
      </c>
      <c r="F115" s="1">
        <v>7.0900000000000005E-2</v>
      </c>
      <c r="G115">
        <v>0.60499999999999998</v>
      </c>
      <c r="H115">
        <v>1.4</v>
      </c>
      <c r="I115">
        <v>10.06</v>
      </c>
      <c r="J115">
        <v>3.32</v>
      </c>
      <c r="K115">
        <v>9.48</v>
      </c>
      <c r="L115">
        <v>6.69</v>
      </c>
      <c r="M115" s="1">
        <v>8.3699999999999997E-2</v>
      </c>
      <c r="N115" s="1">
        <v>0.13389999999999999</v>
      </c>
      <c r="O115">
        <v>3.04</v>
      </c>
      <c r="P115" s="1">
        <v>9.6799999999999997E-2</v>
      </c>
      <c r="Q115" s="1">
        <v>0.17829999999999999</v>
      </c>
      <c r="R115" s="3">
        <v>3109910</v>
      </c>
      <c r="S115" s="3">
        <v>1513810000</v>
      </c>
      <c r="T115">
        <v>0.54</v>
      </c>
      <c r="U115" s="1">
        <v>7.3700000000000002E-2</v>
      </c>
      <c r="V115" s="4">
        <f t="shared" si="5"/>
        <v>5.908333333333334E-3</v>
      </c>
      <c r="W115" s="5">
        <f t="shared" si="6"/>
        <v>0</v>
      </c>
      <c r="X115" t="e">
        <f t="shared" si="7"/>
        <v>#DIV/0!</v>
      </c>
      <c r="Y115" s="5" t="e">
        <f t="shared" si="8"/>
        <v>#DIV/0!</v>
      </c>
      <c r="Z115" s="5" t="e">
        <f t="shared" si="9"/>
        <v>#DIV/0!</v>
      </c>
    </row>
    <row r="116" spans="1:26" x14ac:dyDescent="0.3">
      <c r="A116" t="s">
        <v>1191</v>
      </c>
      <c r="B116" s="5">
        <f>VLOOKUP(A116,Dim!A:B,2)</f>
        <v>0</v>
      </c>
      <c r="C116">
        <v>7.24</v>
      </c>
      <c r="D116">
        <v>1.7</v>
      </c>
      <c r="E116">
        <v>3.0019999999999998</v>
      </c>
      <c r="F116" s="1">
        <v>7.8600000000000003E-2</v>
      </c>
      <c r="G116">
        <v>0.60299999999999998</v>
      </c>
      <c r="H116">
        <v>21.18</v>
      </c>
      <c r="I116">
        <v>5.44</v>
      </c>
      <c r="J116">
        <v>-1.21</v>
      </c>
      <c r="K116">
        <v>9.4</v>
      </c>
      <c r="L116">
        <v>9.27</v>
      </c>
      <c r="M116" s="1">
        <v>0.5514</v>
      </c>
      <c r="N116" s="1">
        <v>0.4148</v>
      </c>
      <c r="O116">
        <v>1.24</v>
      </c>
      <c r="P116" s="1">
        <v>0.1169</v>
      </c>
      <c r="Q116" s="1">
        <v>0.2354</v>
      </c>
      <c r="R116" s="3">
        <v>57618900</v>
      </c>
      <c r="S116" s="3">
        <v>7612370000</v>
      </c>
      <c r="T116">
        <v>1.35</v>
      </c>
      <c r="U116" s="1">
        <v>2.9000000000000001E-2</v>
      </c>
      <c r="V116" s="4">
        <f t="shared" si="5"/>
        <v>6.5500000000000003E-3</v>
      </c>
      <c r="W116" s="5">
        <f t="shared" si="6"/>
        <v>0</v>
      </c>
      <c r="X116" t="e">
        <f t="shared" si="7"/>
        <v>#DIV/0!</v>
      </c>
      <c r="Y116" s="5" t="e">
        <f t="shared" si="8"/>
        <v>#DIV/0!</v>
      </c>
      <c r="Z116" s="5" t="e">
        <f t="shared" si="9"/>
        <v>#DIV/0!</v>
      </c>
    </row>
    <row r="117" spans="1:26" x14ac:dyDescent="0.3">
      <c r="A117" t="s">
        <v>1187</v>
      </c>
      <c r="B117" s="5">
        <f>VLOOKUP(A117,Dim!A:B,2)</f>
        <v>0</v>
      </c>
      <c r="C117">
        <v>7.15</v>
      </c>
      <c r="D117">
        <v>1.68</v>
      </c>
      <c r="E117">
        <v>2.9660000000000002</v>
      </c>
      <c r="F117" s="1">
        <v>7.9600000000000004E-2</v>
      </c>
      <c r="G117">
        <v>0.59599999999999997</v>
      </c>
      <c r="H117">
        <v>20.93</v>
      </c>
      <c r="I117">
        <v>5.38</v>
      </c>
      <c r="J117">
        <v>-1.2</v>
      </c>
      <c r="K117">
        <v>9.33</v>
      </c>
      <c r="L117">
        <v>9.2100000000000009</v>
      </c>
      <c r="M117" s="1">
        <v>0.5514</v>
      </c>
      <c r="N117" s="1">
        <v>0.4148</v>
      </c>
      <c r="O117">
        <v>1.24</v>
      </c>
      <c r="P117" s="1">
        <v>0.1169</v>
      </c>
      <c r="Q117" s="1">
        <v>0.2354</v>
      </c>
      <c r="R117" s="3">
        <v>796689</v>
      </c>
      <c r="S117" s="3">
        <v>7612370000</v>
      </c>
      <c r="T117">
        <v>1.35</v>
      </c>
      <c r="U117" s="1">
        <v>2.9000000000000001E-2</v>
      </c>
      <c r="V117" s="4">
        <f t="shared" si="5"/>
        <v>6.633333333333334E-3</v>
      </c>
      <c r="W117" s="5">
        <f t="shared" si="6"/>
        <v>0</v>
      </c>
      <c r="X117" t="e">
        <f t="shared" si="7"/>
        <v>#DIV/0!</v>
      </c>
      <c r="Y117" s="5" t="e">
        <f t="shared" si="8"/>
        <v>#DIV/0!</v>
      </c>
      <c r="Z117" s="5" t="e">
        <f t="shared" si="9"/>
        <v>#DIV/0!</v>
      </c>
    </row>
    <row r="118" spans="1:26" x14ac:dyDescent="0.3">
      <c r="A118" t="s">
        <v>1330</v>
      </c>
      <c r="B118" s="5">
        <f>VLOOKUP(A118,Dim!A:B,2)</f>
        <v>5.74</v>
      </c>
      <c r="C118">
        <v>10.87</v>
      </c>
      <c r="D118">
        <v>0.97</v>
      </c>
      <c r="E118">
        <v>0.67100000000000004</v>
      </c>
      <c r="F118" s="1">
        <v>1.7999999999999999E-2</v>
      </c>
      <c r="G118">
        <v>0.32500000000000001</v>
      </c>
      <c r="H118">
        <v>1.39</v>
      </c>
      <c r="I118">
        <v>4.32</v>
      </c>
      <c r="J118">
        <v>-1.04</v>
      </c>
      <c r="K118">
        <v>6.62</v>
      </c>
      <c r="L118">
        <v>4.96</v>
      </c>
      <c r="M118" s="1">
        <v>0.15529999999999999</v>
      </c>
      <c r="N118" s="1">
        <v>6.4600000000000005E-2</v>
      </c>
      <c r="O118">
        <v>3.09</v>
      </c>
      <c r="P118" s="1">
        <v>9.1399999999999995E-2</v>
      </c>
      <c r="Q118" s="1">
        <v>8.9399999999999993E-2</v>
      </c>
      <c r="R118" s="3">
        <v>977975</v>
      </c>
      <c r="S118" s="3">
        <v>1451790000</v>
      </c>
      <c r="T118">
        <v>0.96</v>
      </c>
      <c r="U118" s="1">
        <v>0.1651</v>
      </c>
      <c r="V118" s="4">
        <f t="shared" si="5"/>
        <v>1.4999999999999998E-3</v>
      </c>
      <c r="W118" s="5">
        <f t="shared" si="6"/>
        <v>8.6099999999999996E-3</v>
      </c>
      <c r="X118">
        <f t="shared" si="7"/>
        <v>668</v>
      </c>
      <c r="Y118" s="5">
        <f t="shared" si="8"/>
        <v>3834.32</v>
      </c>
      <c r="Z118" s="5">
        <f t="shared" si="9"/>
        <v>5.7514799999999999</v>
      </c>
    </row>
    <row r="119" spans="1:26" x14ac:dyDescent="0.3">
      <c r="A119" t="s">
        <v>1329</v>
      </c>
      <c r="B119" s="5">
        <f>VLOOKUP(A119,Dim!A:B,2)</f>
        <v>29.95</v>
      </c>
      <c r="C119">
        <v>10.86</v>
      </c>
      <c r="D119">
        <v>2.66</v>
      </c>
      <c r="E119">
        <v>2.7450000000000001</v>
      </c>
      <c r="F119" s="1">
        <v>5.1499999999999997E-2</v>
      </c>
      <c r="G119">
        <v>0.61299999999999999</v>
      </c>
      <c r="H119">
        <v>12.55</v>
      </c>
      <c r="I119">
        <v>6</v>
      </c>
      <c r="J119">
        <v>-1.05</v>
      </c>
      <c r="K119">
        <v>9.93</v>
      </c>
      <c r="L119">
        <v>8.1199999999999992</v>
      </c>
      <c r="M119" s="1">
        <v>0.45779999999999998</v>
      </c>
      <c r="N119" s="1">
        <v>0.26379999999999998</v>
      </c>
      <c r="O119">
        <v>1.42</v>
      </c>
      <c r="P119" s="1">
        <v>0.1163</v>
      </c>
      <c r="Q119" s="1">
        <v>0.24440000000000001</v>
      </c>
      <c r="R119" s="3">
        <v>52615000</v>
      </c>
      <c r="S119" s="3">
        <v>12309500000</v>
      </c>
      <c r="T119">
        <v>2.2000000000000002</v>
      </c>
      <c r="U119" s="1">
        <v>-3.6200000000000003E-2</v>
      </c>
      <c r="V119" s="4">
        <f t="shared" si="5"/>
        <v>4.2916666666666667E-3</v>
      </c>
      <c r="W119" s="5">
        <f t="shared" si="6"/>
        <v>0.12853541666666665</v>
      </c>
      <c r="X119">
        <f t="shared" si="7"/>
        <v>235</v>
      </c>
      <c r="Y119" s="5">
        <f t="shared" si="8"/>
        <v>7038.25</v>
      </c>
      <c r="Z119" s="5">
        <f t="shared" si="9"/>
        <v>30.205822916666662</v>
      </c>
    </row>
    <row r="120" spans="1:26" x14ac:dyDescent="0.3">
      <c r="A120" t="s">
        <v>1324</v>
      </c>
      <c r="B120" s="5">
        <f>VLOOKUP(A120,Dim!A:B,2)</f>
        <v>5.74</v>
      </c>
      <c r="C120">
        <v>10.68</v>
      </c>
      <c r="D120">
        <v>2.19</v>
      </c>
      <c r="E120">
        <v>1.095</v>
      </c>
      <c r="F120" s="1">
        <v>6.0199999999999997E-2</v>
      </c>
      <c r="G120">
        <v>0.37</v>
      </c>
      <c r="H120">
        <v>2.8</v>
      </c>
      <c r="I120">
        <v>4.5199999999999996</v>
      </c>
      <c r="J120">
        <v>-0.7</v>
      </c>
      <c r="K120">
        <v>10.17</v>
      </c>
      <c r="L120">
        <v>5.29</v>
      </c>
      <c r="M120" s="1">
        <v>0.24229999999999999</v>
      </c>
      <c r="N120" s="1">
        <v>0.11310000000000001</v>
      </c>
      <c r="O120">
        <v>2.11</v>
      </c>
      <c r="P120" s="1">
        <v>0.1019</v>
      </c>
      <c r="Q120" s="1">
        <v>0.20499999999999999</v>
      </c>
      <c r="R120" s="3">
        <v>2390320</v>
      </c>
      <c r="S120" s="3">
        <v>10192500000</v>
      </c>
      <c r="T120">
        <v>3.53</v>
      </c>
      <c r="U120" s="1">
        <v>7.8100000000000003E-2</v>
      </c>
      <c r="V120" s="4">
        <f t="shared" si="5"/>
        <v>5.0166666666666667E-3</v>
      </c>
      <c r="W120" s="5">
        <f t="shared" si="6"/>
        <v>2.8795666666666667E-2</v>
      </c>
      <c r="X120">
        <f t="shared" si="7"/>
        <v>201</v>
      </c>
      <c r="Y120" s="5">
        <f t="shared" si="8"/>
        <v>1153.74</v>
      </c>
      <c r="Z120" s="5">
        <f t="shared" si="9"/>
        <v>5.7879290000000001</v>
      </c>
    </row>
    <row r="121" spans="1:26" x14ac:dyDescent="0.3">
      <c r="A121" t="s">
        <v>1322</v>
      </c>
      <c r="B121" s="5">
        <f>VLOOKUP(A121,Dim!A:B,2)</f>
        <v>5.74</v>
      </c>
      <c r="C121">
        <v>10.63</v>
      </c>
      <c r="D121">
        <v>2.1800000000000002</v>
      </c>
      <c r="E121">
        <v>1.0900000000000001</v>
      </c>
      <c r="F121" s="1">
        <v>6.0400000000000002E-2</v>
      </c>
      <c r="G121">
        <v>0.36799999999999999</v>
      </c>
      <c r="H121">
        <v>2.78</v>
      </c>
      <c r="I121">
        <v>4.5</v>
      </c>
      <c r="J121">
        <v>-0.7</v>
      </c>
      <c r="K121">
        <v>10.15</v>
      </c>
      <c r="L121">
        <v>5.28</v>
      </c>
      <c r="M121" s="1">
        <v>0.24229999999999999</v>
      </c>
      <c r="N121" s="1">
        <v>0.11310000000000001</v>
      </c>
      <c r="O121">
        <v>2.11</v>
      </c>
      <c r="P121" s="1">
        <v>0.1019</v>
      </c>
      <c r="Q121" s="1">
        <v>0.20499999999999999</v>
      </c>
      <c r="R121" s="3">
        <v>97786400</v>
      </c>
      <c r="S121" s="3">
        <v>10192500000</v>
      </c>
      <c r="T121">
        <v>3.53</v>
      </c>
      <c r="U121" s="1">
        <v>7.8100000000000003E-2</v>
      </c>
      <c r="V121" s="4">
        <f t="shared" si="5"/>
        <v>5.0333333333333332E-3</v>
      </c>
      <c r="W121" s="5">
        <f t="shared" si="6"/>
        <v>2.8891333333333335E-2</v>
      </c>
      <c r="X121">
        <f t="shared" si="7"/>
        <v>200</v>
      </c>
      <c r="Y121" s="5">
        <f t="shared" si="8"/>
        <v>1148</v>
      </c>
      <c r="Z121" s="5">
        <f t="shared" si="9"/>
        <v>5.7782666666666671</v>
      </c>
    </row>
    <row r="122" spans="1:26" x14ac:dyDescent="0.3">
      <c r="A122" t="s">
        <v>1320</v>
      </c>
      <c r="B122" s="5">
        <f>VLOOKUP(A122,Dim!A:B,2)</f>
        <v>5.74</v>
      </c>
      <c r="C122">
        <v>10.62</v>
      </c>
      <c r="D122">
        <v>2.1800000000000002</v>
      </c>
      <c r="E122">
        <v>1.089</v>
      </c>
      <c r="F122" s="1">
        <v>6.0499999999999998E-2</v>
      </c>
      <c r="G122">
        <v>0.36799999999999999</v>
      </c>
      <c r="H122">
        <v>2.78</v>
      </c>
      <c r="I122">
        <v>4.49</v>
      </c>
      <c r="J122">
        <v>-0.7</v>
      </c>
      <c r="K122">
        <v>10.14</v>
      </c>
      <c r="L122">
        <v>5.28</v>
      </c>
      <c r="M122" s="1">
        <v>0.24229999999999999</v>
      </c>
      <c r="N122" s="1">
        <v>0.11310000000000001</v>
      </c>
      <c r="O122">
        <v>2.11</v>
      </c>
      <c r="P122" s="1">
        <v>0.1019</v>
      </c>
      <c r="Q122" s="1">
        <v>0.20499999999999999</v>
      </c>
      <c r="R122" s="3">
        <v>11447000</v>
      </c>
      <c r="S122" s="3">
        <v>10192500000</v>
      </c>
      <c r="T122">
        <v>3.53</v>
      </c>
      <c r="U122" s="1">
        <v>7.8100000000000003E-2</v>
      </c>
      <c r="V122" s="4">
        <f t="shared" si="5"/>
        <v>5.0416666666666665E-3</v>
      </c>
      <c r="W122" s="5">
        <f t="shared" si="6"/>
        <v>2.8939166666666669E-2</v>
      </c>
      <c r="X122">
        <f t="shared" si="7"/>
        <v>200</v>
      </c>
      <c r="Y122" s="5">
        <f t="shared" si="8"/>
        <v>1148</v>
      </c>
      <c r="Z122" s="5">
        <f t="shared" si="9"/>
        <v>5.7878333333333334</v>
      </c>
    </row>
    <row r="123" spans="1:26" x14ac:dyDescent="0.3">
      <c r="A123" t="s">
        <v>1291</v>
      </c>
      <c r="B123" s="5">
        <f>VLOOKUP(A123,Dim!A:B,2)</f>
        <v>0</v>
      </c>
      <c r="C123">
        <v>9.93</v>
      </c>
      <c r="D123">
        <v>1.34</v>
      </c>
      <c r="E123">
        <v>1.371</v>
      </c>
      <c r="F123" s="1">
        <v>7.1999999999999995E-2</v>
      </c>
      <c r="G123">
        <v>0.58299999999999996</v>
      </c>
      <c r="H123">
        <v>16.91</v>
      </c>
      <c r="I123">
        <v>4.21</v>
      </c>
      <c r="J123">
        <v>-1.63</v>
      </c>
      <c r="K123">
        <v>5.19</v>
      </c>
      <c r="L123">
        <v>4.13</v>
      </c>
      <c r="M123" s="1">
        <v>0.32540000000000002</v>
      </c>
      <c r="N123" s="1">
        <v>0.13300000000000001</v>
      </c>
      <c r="O123">
        <v>1.22</v>
      </c>
      <c r="P123" s="1">
        <v>0.15770000000000001</v>
      </c>
      <c r="Q123" s="1">
        <v>0.13519999999999999</v>
      </c>
      <c r="R123" s="3">
        <v>1073450000</v>
      </c>
      <c r="S123" s="3">
        <v>214175000000</v>
      </c>
      <c r="T123">
        <v>0.45</v>
      </c>
      <c r="U123" s="1">
        <v>-8.0799999999999997E-2</v>
      </c>
      <c r="V123" s="4">
        <f t="shared" si="5"/>
        <v>5.9999999999999993E-3</v>
      </c>
      <c r="W123" s="5">
        <f t="shared" si="6"/>
        <v>0</v>
      </c>
      <c r="X123" t="e">
        <f t="shared" si="7"/>
        <v>#DIV/0!</v>
      </c>
      <c r="Y123" s="5" t="e">
        <f t="shared" si="8"/>
        <v>#DIV/0!</v>
      </c>
      <c r="Z123" s="5" t="e">
        <f t="shared" si="9"/>
        <v>#DIV/0!</v>
      </c>
    </row>
    <row r="124" spans="1:26" x14ac:dyDescent="0.3">
      <c r="A124" t="s">
        <v>1319</v>
      </c>
      <c r="B124" s="5">
        <f>VLOOKUP(A124,Dim!A:B,2)</f>
        <v>5.74</v>
      </c>
      <c r="C124">
        <v>10.55</v>
      </c>
      <c r="D124">
        <v>1.31</v>
      </c>
      <c r="E124">
        <v>4.3230000000000004</v>
      </c>
      <c r="F124" s="1">
        <v>1.9800000000000002E-2</v>
      </c>
      <c r="G124">
        <v>0.60599999999999998</v>
      </c>
      <c r="H124">
        <v>2.85</v>
      </c>
      <c r="I124">
        <v>7.33</v>
      </c>
      <c r="J124">
        <v>-2.4900000000000002</v>
      </c>
      <c r="K124">
        <v>10.29</v>
      </c>
      <c r="L124">
        <v>8.6</v>
      </c>
      <c r="M124" s="1">
        <v>0.58989999999999998</v>
      </c>
      <c r="N124" s="1">
        <v>0.40970000000000001</v>
      </c>
      <c r="O124">
        <v>3.67</v>
      </c>
      <c r="P124" s="1">
        <v>0.10100000000000001</v>
      </c>
      <c r="Q124" s="1">
        <v>0.12379999999999999</v>
      </c>
      <c r="R124" s="3">
        <v>98012.6</v>
      </c>
      <c r="S124" s="3">
        <v>4514230000</v>
      </c>
      <c r="T124">
        <v>0.91</v>
      </c>
      <c r="U124" s="1">
        <v>0.16159999999999999</v>
      </c>
      <c r="V124" s="4">
        <f t="shared" si="5"/>
        <v>1.6500000000000002E-3</v>
      </c>
      <c r="W124" s="5">
        <f t="shared" si="6"/>
        <v>9.471000000000002E-3</v>
      </c>
      <c r="X124">
        <f t="shared" si="7"/>
        <v>608</v>
      </c>
      <c r="Y124" s="5">
        <f t="shared" si="8"/>
        <v>3489.92</v>
      </c>
      <c r="Z124" s="5">
        <f t="shared" si="9"/>
        <v>5.7583680000000008</v>
      </c>
    </row>
    <row r="125" spans="1:26" x14ac:dyDescent="0.3">
      <c r="A125" t="s">
        <v>1318</v>
      </c>
      <c r="B125" s="5">
        <f>VLOOKUP(A125,Dim!A:B,2)</f>
        <v>106.55</v>
      </c>
      <c r="C125">
        <v>10.49</v>
      </c>
      <c r="D125">
        <v>1.69</v>
      </c>
      <c r="E125">
        <v>1.76</v>
      </c>
      <c r="F125" s="1">
        <v>4.7E-2</v>
      </c>
      <c r="G125">
        <v>0.85899999999999999</v>
      </c>
      <c r="H125">
        <v>14.58</v>
      </c>
      <c r="I125">
        <v>6.51</v>
      </c>
      <c r="J125">
        <v>-2.6</v>
      </c>
      <c r="K125">
        <v>9.16</v>
      </c>
      <c r="L125">
        <v>6.56</v>
      </c>
      <c r="M125" s="1">
        <v>0.27029999999999998</v>
      </c>
      <c r="N125" s="1">
        <v>0.1678</v>
      </c>
      <c r="O125">
        <v>1.57</v>
      </c>
      <c r="P125" s="1">
        <v>0.14399999999999999</v>
      </c>
      <c r="Q125" s="1">
        <v>0.1613</v>
      </c>
      <c r="R125" s="3">
        <v>85660700</v>
      </c>
      <c r="S125" s="3">
        <v>8421330000</v>
      </c>
      <c r="T125">
        <v>0.81</v>
      </c>
      <c r="U125" s="1">
        <v>0.1017</v>
      </c>
      <c r="V125" s="4">
        <f t="shared" si="5"/>
        <v>3.9166666666666664E-3</v>
      </c>
      <c r="W125" s="5">
        <f t="shared" si="6"/>
        <v>0.41732083333333331</v>
      </c>
      <c r="X125">
        <f t="shared" si="7"/>
        <v>257</v>
      </c>
      <c r="Y125" s="5">
        <f t="shared" si="8"/>
        <v>27383.35</v>
      </c>
      <c r="Z125" s="5">
        <f t="shared" si="9"/>
        <v>107.25145416666666</v>
      </c>
    </row>
    <row r="126" spans="1:26" x14ac:dyDescent="0.3">
      <c r="A126" t="s">
        <v>1153</v>
      </c>
      <c r="B126" s="5">
        <f>VLOOKUP(A126,Dim!A:B,2)</f>
        <v>0</v>
      </c>
      <c r="C126">
        <v>6.34</v>
      </c>
      <c r="D126">
        <v>0.95</v>
      </c>
      <c r="E126">
        <v>0.89900000000000002</v>
      </c>
      <c r="F126" s="1">
        <v>3.8699999999999998E-2</v>
      </c>
      <c r="G126">
        <v>0.57499999999999996</v>
      </c>
      <c r="H126">
        <v>1.27</v>
      </c>
      <c r="I126">
        <v>4.5199999999999996</v>
      </c>
      <c r="J126">
        <v>2.13</v>
      </c>
      <c r="K126">
        <v>4.87</v>
      </c>
      <c r="L126">
        <v>5.49</v>
      </c>
      <c r="M126" s="1">
        <v>0.19900000000000001</v>
      </c>
      <c r="N126" s="1">
        <v>0.14180000000000001</v>
      </c>
      <c r="O126">
        <v>3.17</v>
      </c>
      <c r="P126" s="1">
        <v>0.15409999999999999</v>
      </c>
      <c r="Q126" s="1">
        <v>0.14949999999999999</v>
      </c>
      <c r="R126" s="3">
        <v>303219</v>
      </c>
      <c r="S126" s="3">
        <v>417855000</v>
      </c>
      <c r="T126">
        <v>0.23</v>
      </c>
      <c r="U126" s="1">
        <v>7.8799999999999995E-2</v>
      </c>
      <c r="V126" s="4">
        <f t="shared" si="5"/>
        <v>3.225E-3</v>
      </c>
      <c r="W126" s="5">
        <f t="shared" si="6"/>
        <v>0</v>
      </c>
      <c r="X126" t="e">
        <f t="shared" si="7"/>
        <v>#DIV/0!</v>
      </c>
      <c r="Y126" s="5" t="e">
        <f t="shared" si="8"/>
        <v>#DIV/0!</v>
      </c>
      <c r="Z126" s="5" t="e">
        <f t="shared" si="9"/>
        <v>#DIV/0!</v>
      </c>
    </row>
    <row r="127" spans="1:26" x14ac:dyDescent="0.3">
      <c r="A127" t="s">
        <v>1317</v>
      </c>
      <c r="B127" s="5">
        <f>VLOOKUP(A127,Dim!A:B,2)</f>
        <v>18.149999999999999</v>
      </c>
      <c r="C127">
        <v>10.48</v>
      </c>
      <c r="D127">
        <v>9.7899999999999991</v>
      </c>
      <c r="E127">
        <v>1.1890000000000001</v>
      </c>
      <c r="F127" s="1">
        <v>7.9799999999999996E-2</v>
      </c>
      <c r="G127">
        <v>1.167</v>
      </c>
      <c r="H127">
        <v>15.82</v>
      </c>
      <c r="I127">
        <v>5.67</v>
      </c>
      <c r="J127">
        <v>-1.92</v>
      </c>
      <c r="K127">
        <v>8.1300000000000008</v>
      </c>
      <c r="L127">
        <v>6.61</v>
      </c>
      <c r="M127" s="1">
        <v>0.20960000000000001</v>
      </c>
      <c r="N127" s="1">
        <v>0.1135</v>
      </c>
      <c r="O127">
        <v>1.37</v>
      </c>
      <c r="P127" s="1">
        <v>0.24210000000000001</v>
      </c>
      <c r="Q127" s="1">
        <v>0.93410000000000004</v>
      </c>
      <c r="R127" s="3">
        <v>141586</v>
      </c>
      <c r="S127" s="3">
        <v>1715480000</v>
      </c>
      <c r="T127">
        <v>5.01</v>
      </c>
      <c r="U127" s="1">
        <v>8.1100000000000005E-2</v>
      </c>
      <c r="V127" s="4">
        <f t="shared" si="5"/>
        <v>6.6499999999999997E-3</v>
      </c>
      <c r="W127" s="5">
        <f t="shared" si="6"/>
        <v>0.12069749999999999</v>
      </c>
      <c r="X127">
        <f t="shared" si="7"/>
        <v>152</v>
      </c>
      <c r="Y127" s="5">
        <f t="shared" si="8"/>
        <v>2758.7999999999997</v>
      </c>
      <c r="Z127" s="5">
        <f t="shared" si="9"/>
        <v>18.346019999999999</v>
      </c>
    </row>
    <row r="128" spans="1:26" x14ac:dyDescent="0.3">
      <c r="A128" t="s">
        <v>1313</v>
      </c>
      <c r="B128" s="5">
        <f>VLOOKUP(A128,Dim!A:B,2)</f>
        <v>58</v>
      </c>
      <c r="C128">
        <v>10.4</v>
      </c>
      <c r="D128">
        <v>1.26</v>
      </c>
      <c r="E128">
        <v>2.4969999999999999</v>
      </c>
      <c r="F128" s="1">
        <v>2.69E-2</v>
      </c>
      <c r="G128">
        <v>0.34399999999999997</v>
      </c>
      <c r="H128">
        <v>3.1</v>
      </c>
      <c r="I128">
        <v>3.85</v>
      </c>
      <c r="J128">
        <v>-0.85</v>
      </c>
      <c r="K128">
        <v>7.08</v>
      </c>
      <c r="L128">
        <v>6.66</v>
      </c>
      <c r="M128" s="1">
        <v>0.64890000000000003</v>
      </c>
      <c r="N128" s="1">
        <v>0.42399999999999999</v>
      </c>
      <c r="O128">
        <v>2.13</v>
      </c>
      <c r="P128" s="1">
        <v>0.1023</v>
      </c>
      <c r="Q128" s="1">
        <v>0.1211</v>
      </c>
      <c r="R128" s="3">
        <v>20157000</v>
      </c>
      <c r="S128" s="3">
        <v>8570260000</v>
      </c>
      <c r="T128">
        <v>1.49</v>
      </c>
      <c r="U128" s="1">
        <v>-0.11550000000000001</v>
      </c>
      <c r="V128" s="4">
        <f t="shared" si="5"/>
        <v>2.2416666666666665E-3</v>
      </c>
      <c r="W128" s="5">
        <f t="shared" si="6"/>
        <v>0.13001666666666667</v>
      </c>
      <c r="X128">
        <f t="shared" si="7"/>
        <v>448</v>
      </c>
      <c r="Y128" s="5">
        <f t="shared" si="8"/>
        <v>25984</v>
      </c>
      <c r="Z128" s="5">
        <f t="shared" si="9"/>
        <v>58.247466666666668</v>
      </c>
    </row>
    <row r="129" spans="1:26" x14ac:dyDescent="0.3">
      <c r="A129" t="s">
        <v>1312</v>
      </c>
      <c r="B129" s="5">
        <f>VLOOKUP(A129,Dim!A:B,2)</f>
        <v>29.49</v>
      </c>
      <c r="C129">
        <v>10.38</v>
      </c>
      <c r="D129">
        <v>0.67</v>
      </c>
      <c r="E129">
        <v>0.159</v>
      </c>
      <c r="F129" s="1">
        <v>4.1200000000000001E-2</v>
      </c>
      <c r="G129">
        <v>0.11700000000000001</v>
      </c>
      <c r="H129">
        <v>0.44</v>
      </c>
      <c r="I129">
        <v>1.6</v>
      </c>
      <c r="J129">
        <v>-0.51</v>
      </c>
      <c r="K129">
        <v>7.28</v>
      </c>
      <c r="L129">
        <v>5.46</v>
      </c>
      <c r="M129" s="1">
        <v>9.9000000000000005E-2</v>
      </c>
      <c r="N129" s="1">
        <v>3.4299999999999997E-2</v>
      </c>
      <c r="O129">
        <v>2.04</v>
      </c>
      <c r="P129" s="1">
        <v>8.8099999999999998E-2</v>
      </c>
      <c r="Q129" s="1">
        <v>6.4500000000000002E-2</v>
      </c>
      <c r="R129" s="3">
        <v>19440200</v>
      </c>
      <c r="S129" s="3">
        <v>3056780000</v>
      </c>
      <c r="T129">
        <v>2.93</v>
      </c>
      <c r="U129" s="1">
        <v>0.128</v>
      </c>
      <c r="V129" s="4">
        <f t="shared" si="5"/>
        <v>3.4333333333333334E-3</v>
      </c>
      <c r="W129" s="5">
        <f t="shared" si="6"/>
        <v>0.10124899999999999</v>
      </c>
      <c r="X129">
        <f t="shared" si="7"/>
        <v>293</v>
      </c>
      <c r="Y129" s="5">
        <f t="shared" si="8"/>
        <v>8640.57</v>
      </c>
      <c r="Z129" s="5">
        <f t="shared" si="9"/>
        <v>29.665956999999999</v>
      </c>
    </row>
    <row r="130" spans="1:26" x14ac:dyDescent="0.3">
      <c r="A130" t="s">
        <v>1309</v>
      </c>
      <c r="B130" s="5">
        <f>VLOOKUP(A130,Dim!A:B,2)</f>
        <v>106.55</v>
      </c>
      <c r="C130">
        <v>10.35</v>
      </c>
      <c r="D130">
        <v>3.36</v>
      </c>
      <c r="E130">
        <v>0</v>
      </c>
      <c r="F130" s="1">
        <v>7.8700000000000006E-2</v>
      </c>
      <c r="G130">
        <v>3.109</v>
      </c>
      <c r="H130">
        <v>70.37</v>
      </c>
      <c r="I130">
        <v>-342.39</v>
      </c>
      <c r="J130">
        <v>71.819999999999993</v>
      </c>
      <c r="K130">
        <v>-333.97</v>
      </c>
      <c r="L130">
        <v>-334.1</v>
      </c>
      <c r="M130" s="1">
        <v>0</v>
      </c>
      <c r="N130" s="1">
        <v>0</v>
      </c>
      <c r="O130">
        <v>1.59</v>
      </c>
      <c r="P130" s="1">
        <v>-9.7999999999999997E-3</v>
      </c>
      <c r="Q130" s="1">
        <v>0.32519999999999999</v>
      </c>
      <c r="R130" s="3">
        <v>62867200</v>
      </c>
      <c r="S130" s="3">
        <v>13330700000</v>
      </c>
      <c r="T130">
        <v>0</v>
      </c>
      <c r="U130" s="1">
        <v>0</v>
      </c>
      <c r="V130" s="4">
        <f t="shared" ref="V130:V193" si="10">F130/12</f>
        <v>6.5583333333333335E-3</v>
      </c>
      <c r="W130" s="5">
        <f t="shared" ref="W130:W193" si="11">V130*B130</f>
        <v>0.69879041666666664</v>
      </c>
      <c r="X130">
        <f t="shared" ref="X130:X193" si="12">ROUNDUP((B130/W130),0)+1</f>
        <v>154</v>
      </c>
      <c r="Y130" s="5">
        <f t="shared" ref="Y130:Y193" si="13">X130*B130</f>
        <v>16408.7</v>
      </c>
      <c r="Z130" s="5">
        <f t="shared" ref="Z130:Z193" si="14">X130*W130</f>
        <v>107.61372416666666</v>
      </c>
    </row>
    <row r="131" spans="1:26" x14ac:dyDescent="0.3">
      <c r="A131" t="s">
        <v>1197</v>
      </c>
      <c r="B131" s="5">
        <f>VLOOKUP(A131,Dim!A:B,2)</f>
        <v>0</v>
      </c>
      <c r="C131">
        <v>7.31</v>
      </c>
      <c r="D131">
        <v>2.1</v>
      </c>
      <c r="E131">
        <v>0.997</v>
      </c>
      <c r="F131" s="1">
        <v>2.9600000000000001E-2</v>
      </c>
      <c r="G131">
        <v>0.55300000000000005</v>
      </c>
      <c r="H131">
        <v>-33.76</v>
      </c>
      <c r="I131">
        <v>1.98</v>
      </c>
      <c r="J131">
        <v>-2.17</v>
      </c>
      <c r="K131">
        <v>2.12</v>
      </c>
      <c r="L131">
        <v>1.81</v>
      </c>
      <c r="M131" s="1">
        <v>0.50460000000000005</v>
      </c>
      <c r="N131" s="1">
        <v>0.24879999999999999</v>
      </c>
      <c r="O131">
        <v>0.93</v>
      </c>
      <c r="P131" s="1">
        <v>0.3488</v>
      </c>
      <c r="Q131" s="1">
        <v>0.28760000000000002</v>
      </c>
      <c r="R131" s="3">
        <v>3145900</v>
      </c>
      <c r="S131" s="3">
        <v>642431000</v>
      </c>
      <c r="T131">
        <v>0.63</v>
      </c>
      <c r="U131" s="1">
        <v>0.1197</v>
      </c>
      <c r="V131" s="4">
        <f t="shared" si="10"/>
        <v>2.4666666666666669E-3</v>
      </c>
      <c r="W131" s="5">
        <f t="shared" si="11"/>
        <v>0</v>
      </c>
      <c r="X131" t="e">
        <f t="shared" si="12"/>
        <v>#DIV/0!</v>
      </c>
      <c r="Y131" s="5" t="e">
        <f t="shared" si="13"/>
        <v>#DIV/0!</v>
      </c>
      <c r="Z131" s="5" t="e">
        <f t="shared" si="14"/>
        <v>#DIV/0!</v>
      </c>
    </row>
    <row r="132" spans="1:26" x14ac:dyDescent="0.3">
      <c r="A132" t="s">
        <v>1306</v>
      </c>
      <c r="B132" s="5">
        <f>VLOOKUP(A132,Dim!A:B,2)</f>
        <v>29.49</v>
      </c>
      <c r="C132">
        <v>10.26</v>
      </c>
      <c r="D132">
        <v>0.66</v>
      </c>
      <c r="E132">
        <v>0.157</v>
      </c>
      <c r="F132" s="1">
        <v>4.1700000000000001E-2</v>
      </c>
      <c r="G132">
        <v>0.11600000000000001</v>
      </c>
      <c r="H132">
        <v>0.43</v>
      </c>
      <c r="I132">
        <v>1.58</v>
      </c>
      <c r="J132">
        <v>-0.5</v>
      </c>
      <c r="K132">
        <v>7.26</v>
      </c>
      <c r="L132">
        <v>5.45</v>
      </c>
      <c r="M132" s="1">
        <v>9.9000000000000005E-2</v>
      </c>
      <c r="N132" s="1">
        <v>3.4299999999999997E-2</v>
      </c>
      <c r="O132">
        <v>2.04</v>
      </c>
      <c r="P132" s="1">
        <v>8.8099999999999998E-2</v>
      </c>
      <c r="Q132" s="1">
        <v>6.4500000000000002E-2</v>
      </c>
      <c r="R132" s="3">
        <v>164762</v>
      </c>
      <c r="S132" s="3">
        <v>3056780000</v>
      </c>
      <c r="T132">
        <v>2.93</v>
      </c>
      <c r="U132" s="1">
        <v>0.128</v>
      </c>
      <c r="V132" s="4">
        <f t="shared" si="10"/>
        <v>3.4750000000000002E-3</v>
      </c>
      <c r="W132" s="5">
        <f t="shared" si="11"/>
        <v>0.10247775000000001</v>
      </c>
      <c r="X132">
        <f t="shared" si="12"/>
        <v>289</v>
      </c>
      <c r="Y132" s="5">
        <f t="shared" si="13"/>
        <v>8522.6099999999988</v>
      </c>
      <c r="Z132" s="5">
        <f t="shared" si="14"/>
        <v>29.616069750000001</v>
      </c>
    </row>
    <row r="133" spans="1:26" x14ac:dyDescent="0.3">
      <c r="A133" t="s">
        <v>1304</v>
      </c>
      <c r="B133" s="5">
        <f>VLOOKUP(A133,Dim!A:B,2)</f>
        <v>5.74</v>
      </c>
      <c r="C133">
        <v>10.220000000000001</v>
      </c>
      <c r="D133">
        <v>2.11</v>
      </c>
      <c r="E133">
        <v>0</v>
      </c>
      <c r="F133" s="1">
        <v>6.6600000000000006E-2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 s="1">
        <v>0</v>
      </c>
      <c r="N133" s="1">
        <v>0</v>
      </c>
      <c r="O133">
        <v>0</v>
      </c>
      <c r="P133" s="1">
        <v>0</v>
      </c>
      <c r="Q133" s="1">
        <v>0.20660000000000001</v>
      </c>
      <c r="R133" s="3">
        <v>662070000</v>
      </c>
      <c r="S133" s="3">
        <v>200814000000</v>
      </c>
      <c r="T133">
        <v>0</v>
      </c>
      <c r="U133" s="1">
        <v>0.92420000000000002</v>
      </c>
      <c r="V133" s="4">
        <f t="shared" si="10"/>
        <v>5.5500000000000002E-3</v>
      </c>
      <c r="W133" s="5">
        <f t="shared" si="11"/>
        <v>3.1857000000000003E-2</v>
      </c>
      <c r="X133">
        <f t="shared" si="12"/>
        <v>182</v>
      </c>
      <c r="Y133" s="5">
        <f t="shared" si="13"/>
        <v>1044.68</v>
      </c>
      <c r="Z133" s="5">
        <f t="shared" si="14"/>
        <v>5.7979740000000008</v>
      </c>
    </row>
    <row r="134" spans="1:26" x14ac:dyDescent="0.3">
      <c r="A134" t="s">
        <v>1404</v>
      </c>
      <c r="B134" s="5">
        <f>VLOOKUP(A134,Dim!A:B,2)</f>
        <v>0</v>
      </c>
      <c r="C134">
        <v>14.63</v>
      </c>
      <c r="D134">
        <v>0.93</v>
      </c>
      <c r="E134">
        <v>1.7230000000000001</v>
      </c>
      <c r="F134" s="1">
        <v>3.8300000000000001E-2</v>
      </c>
      <c r="G134">
        <v>0.52600000000000002</v>
      </c>
      <c r="H134">
        <v>3.89</v>
      </c>
      <c r="I134">
        <v>9.56</v>
      </c>
      <c r="J134">
        <v>-4.2</v>
      </c>
      <c r="K134">
        <v>15.01</v>
      </c>
      <c r="L134">
        <v>11.08</v>
      </c>
      <c r="M134" s="1">
        <v>0.1802</v>
      </c>
      <c r="N134" s="1">
        <v>0.1178</v>
      </c>
      <c r="O134">
        <v>1.79</v>
      </c>
      <c r="P134" s="1">
        <v>6.0299999999999999E-2</v>
      </c>
      <c r="Q134" s="1">
        <v>6.3399999999999998E-2</v>
      </c>
      <c r="R134" s="3">
        <v>3375680</v>
      </c>
      <c r="S134" s="3">
        <v>2177730000</v>
      </c>
      <c r="T134">
        <v>0.6</v>
      </c>
      <c r="U134" s="1">
        <v>-6.5299999999999997E-2</v>
      </c>
      <c r="V134" s="4">
        <f t="shared" si="10"/>
        <v>3.1916666666666669E-3</v>
      </c>
      <c r="W134" s="5">
        <f t="shared" si="11"/>
        <v>0</v>
      </c>
      <c r="X134" t="e">
        <f t="shared" si="12"/>
        <v>#DIV/0!</v>
      </c>
      <c r="Y134" s="5" t="e">
        <f t="shared" si="13"/>
        <v>#DIV/0!</v>
      </c>
      <c r="Z134" s="5" t="e">
        <f t="shared" si="14"/>
        <v>#DIV/0!</v>
      </c>
    </row>
    <row r="135" spans="1:26" x14ac:dyDescent="0.3">
      <c r="A135" t="s">
        <v>1303</v>
      </c>
      <c r="B135" s="5">
        <f>VLOOKUP(A135,Dim!A:B,2)</f>
        <v>18.149999999999999</v>
      </c>
      <c r="C135">
        <v>10.220000000000001</v>
      </c>
      <c r="D135">
        <v>1.49</v>
      </c>
      <c r="E135">
        <v>0.64</v>
      </c>
      <c r="F135" s="1">
        <v>2.3E-2</v>
      </c>
      <c r="G135">
        <v>0.57899999999999996</v>
      </c>
      <c r="H135">
        <v>3.74</v>
      </c>
      <c r="I135">
        <v>5.05</v>
      </c>
      <c r="J135">
        <v>-4.1500000000000004</v>
      </c>
      <c r="K135">
        <v>5.3</v>
      </c>
      <c r="L135">
        <v>3.95</v>
      </c>
      <c r="M135" s="1">
        <v>0.1268</v>
      </c>
      <c r="N135" s="1">
        <v>6.2600000000000003E-2</v>
      </c>
      <c r="O135">
        <v>1.49</v>
      </c>
      <c r="P135" s="1">
        <v>0.1585</v>
      </c>
      <c r="Q135" s="1">
        <v>0.14530000000000001</v>
      </c>
      <c r="R135" s="3">
        <v>59924700</v>
      </c>
      <c r="S135" s="3">
        <v>3455690000</v>
      </c>
      <c r="T135">
        <v>0.37</v>
      </c>
      <c r="U135" s="1">
        <v>0.12839999999999999</v>
      </c>
      <c r="V135" s="4">
        <f t="shared" si="10"/>
        <v>1.9166666666666666E-3</v>
      </c>
      <c r="W135" s="5">
        <f t="shared" si="11"/>
        <v>3.4787499999999992E-2</v>
      </c>
      <c r="X135">
        <f t="shared" si="12"/>
        <v>523</v>
      </c>
      <c r="Y135" s="5">
        <f t="shared" si="13"/>
        <v>9492.4499999999989</v>
      </c>
      <c r="Z135" s="5">
        <f t="shared" si="14"/>
        <v>18.193862499999994</v>
      </c>
    </row>
    <row r="136" spans="1:26" x14ac:dyDescent="0.3">
      <c r="A136" t="s">
        <v>1301</v>
      </c>
      <c r="B136" s="5">
        <f>VLOOKUP(A136,Dim!A:B,2)</f>
        <v>18.149999999999999</v>
      </c>
      <c r="C136">
        <v>10.199999999999999</v>
      </c>
      <c r="D136">
        <v>9.5299999999999994</v>
      </c>
      <c r="E136">
        <v>1.1579999999999999</v>
      </c>
      <c r="F136" s="1">
        <v>7.4499999999999997E-2</v>
      </c>
      <c r="G136">
        <v>1.1359999999999999</v>
      </c>
      <c r="H136">
        <v>15.4</v>
      </c>
      <c r="I136">
        <v>5.52</v>
      </c>
      <c r="J136">
        <v>-1.87</v>
      </c>
      <c r="K136">
        <v>7.98</v>
      </c>
      <c r="L136">
        <v>6.48</v>
      </c>
      <c r="M136" s="1">
        <v>0.20960000000000001</v>
      </c>
      <c r="N136" s="1">
        <v>0.1135</v>
      </c>
      <c r="O136">
        <v>1.37</v>
      </c>
      <c r="P136" s="1">
        <v>0.24210000000000001</v>
      </c>
      <c r="Q136" s="1">
        <v>0.93410000000000004</v>
      </c>
      <c r="R136" s="3">
        <v>13634.6</v>
      </c>
      <c r="S136" s="3">
        <v>1715480000</v>
      </c>
      <c r="T136">
        <v>5.01</v>
      </c>
      <c r="U136" s="1">
        <v>8.1100000000000005E-2</v>
      </c>
      <c r="V136" s="4">
        <f t="shared" si="10"/>
        <v>6.2083333333333331E-3</v>
      </c>
      <c r="W136" s="5">
        <f t="shared" si="11"/>
        <v>0.11268124999999998</v>
      </c>
      <c r="X136">
        <f t="shared" si="12"/>
        <v>163</v>
      </c>
      <c r="Y136" s="5">
        <f t="shared" si="13"/>
        <v>2958.45</v>
      </c>
      <c r="Z136" s="5">
        <f t="shared" si="14"/>
        <v>18.367043749999997</v>
      </c>
    </row>
    <row r="137" spans="1:26" x14ac:dyDescent="0.3">
      <c r="A137" t="s">
        <v>1299</v>
      </c>
      <c r="B137" s="5">
        <f>VLOOKUP(A137,Dim!A:B,2)</f>
        <v>106.55</v>
      </c>
      <c r="C137">
        <v>10.08</v>
      </c>
      <c r="D137">
        <v>1.32</v>
      </c>
      <c r="E137">
        <v>0.75800000000000001</v>
      </c>
      <c r="F137" s="1">
        <v>3.7900000000000003E-2</v>
      </c>
      <c r="G137">
        <v>0.436</v>
      </c>
      <c r="H137">
        <v>7.46</v>
      </c>
      <c r="I137">
        <v>3.98</v>
      </c>
      <c r="J137">
        <v>-0.96</v>
      </c>
      <c r="K137">
        <v>5.21</v>
      </c>
      <c r="L137">
        <v>3.45</v>
      </c>
      <c r="M137" s="1">
        <v>0.19040000000000001</v>
      </c>
      <c r="N137" s="1">
        <v>7.51E-2</v>
      </c>
      <c r="O137">
        <v>1.38</v>
      </c>
      <c r="P137" s="1">
        <v>0.13009999999999999</v>
      </c>
      <c r="Q137" s="1">
        <v>0.1305</v>
      </c>
      <c r="R137" s="3">
        <v>2151560</v>
      </c>
      <c r="S137" s="3">
        <v>1542860000</v>
      </c>
      <c r="T137">
        <v>0.83</v>
      </c>
      <c r="U137" s="1">
        <v>0.1086</v>
      </c>
      <c r="V137" s="4">
        <f t="shared" si="10"/>
        <v>3.1583333333333337E-3</v>
      </c>
      <c r="W137" s="5">
        <f t="shared" si="11"/>
        <v>0.33652041666666671</v>
      </c>
      <c r="X137">
        <f t="shared" si="12"/>
        <v>318</v>
      </c>
      <c r="Y137" s="5">
        <f t="shared" si="13"/>
        <v>33882.9</v>
      </c>
      <c r="Z137" s="5">
        <f t="shared" si="14"/>
        <v>107.01349250000001</v>
      </c>
    </row>
    <row r="138" spans="1:26" x14ac:dyDescent="0.3">
      <c r="A138" t="s">
        <v>1215</v>
      </c>
      <c r="B138" s="5">
        <f>VLOOKUP(A138,Dim!A:B,2)</f>
        <v>0</v>
      </c>
      <c r="C138">
        <v>7.94</v>
      </c>
      <c r="D138">
        <v>1.44</v>
      </c>
      <c r="E138">
        <v>0.16800000000000001</v>
      </c>
      <c r="F138" s="1">
        <v>3.61E-2</v>
      </c>
      <c r="G138">
        <v>0.50800000000000001</v>
      </c>
      <c r="H138">
        <v>3.06</v>
      </c>
      <c r="I138">
        <v>4.37</v>
      </c>
      <c r="J138">
        <v>-2.2400000000000002</v>
      </c>
      <c r="K138">
        <v>7.2</v>
      </c>
      <c r="L138">
        <v>5.77</v>
      </c>
      <c r="M138" s="1">
        <v>3.8300000000000001E-2</v>
      </c>
      <c r="N138" s="1">
        <v>2.24E-2</v>
      </c>
      <c r="O138">
        <v>1.82</v>
      </c>
      <c r="P138" s="1">
        <v>0.13750000000000001</v>
      </c>
      <c r="Q138" s="1">
        <v>0.18129999999999999</v>
      </c>
      <c r="R138" s="3">
        <v>147443000</v>
      </c>
      <c r="S138" s="3">
        <v>16073700000</v>
      </c>
      <c r="T138">
        <v>1.18</v>
      </c>
      <c r="U138" s="1">
        <v>7.6999999999999999E-2</v>
      </c>
      <c r="V138" s="4">
        <f t="shared" si="10"/>
        <v>3.0083333333333333E-3</v>
      </c>
      <c r="W138" s="5">
        <f t="shared" si="11"/>
        <v>0</v>
      </c>
      <c r="X138" t="e">
        <f t="shared" si="12"/>
        <v>#DIV/0!</v>
      </c>
      <c r="Y138" s="5" t="e">
        <f t="shared" si="13"/>
        <v>#DIV/0!</v>
      </c>
      <c r="Z138" s="5" t="e">
        <f t="shared" si="14"/>
        <v>#DIV/0!</v>
      </c>
    </row>
    <row r="139" spans="1:26" x14ac:dyDescent="0.3">
      <c r="A139" t="s">
        <v>1296</v>
      </c>
      <c r="B139" s="5">
        <f>VLOOKUP(A139,Dim!A:B,2)</f>
        <v>5.74</v>
      </c>
      <c r="C139">
        <v>10</v>
      </c>
      <c r="D139">
        <v>1.97</v>
      </c>
      <c r="E139">
        <v>1.758</v>
      </c>
      <c r="F139" s="1">
        <v>3.9600000000000003E-2</v>
      </c>
      <c r="G139">
        <v>0.79600000000000004</v>
      </c>
      <c r="H139">
        <v>4.5</v>
      </c>
      <c r="I139">
        <v>5.0199999999999996</v>
      </c>
      <c r="J139">
        <v>-2.94</v>
      </c>
      <c r="K139">
        <v>7.08</v>
      </c>
      <c r="L139">
        <v>5.01</v>
      </c>
      <c r="M139" s="1">
        <v>0.35049999999999998</v>
      </c>
      <c r="N139" s="1">
        <v>0.17599999999999999</v>
      </c>
      <c r="O139">
        <v>2.21</v>
      </c>
      <c r="P139" s="1">
        <v>0.1938</v>
      </c>
      <c r="Q139" s="1">
        <v>0.19689999999999999</v>
      </c>
      <c r="R139" s="3">
        <v>12033900</v>
      </c>
      <c r="S139" s="3">
        <v>1530490000</v>
      </c>
      <c r="T139">
        <v>1.1499999999999999</v>
      </c>
      <c r="U139" s="1">
        <v>0.29020000000000001</v>
      </c>
      <c r="V139" s="4">
        <f t="shared" si="10"/>
        <v>3.3000000000000004E-3</v>
      </c>
      <c r="W139" s="5">
        <f t="shared" si="11"/>
        <v>1.8942000000000004E-2</v>
      </c>
      <c r="X139">
        <f t="shared" si="12"/>
        <v>305</v>
      </c>
      <c r="Y139" s="5">
        <f t="shared" si="13"/>
        <v>1750.7</v>
      </c>
      <c r="Z139" s="5">
        <f t="shared" si="14"/>
        <v>5.7773100000000008</v>
      </c>
    </row>
    <row r="140" spans="1:26" x14ac:dyDescent="0.3">
      <c r="A140" t="s">
        <v>1297</v>
      </c>
      <c r="B140" s="5">
        <f>VLOOKUP(A140,Dim!A:B,2)</f>
        <v>5.74</v>
      </c>
      <c r="C140">
        <v>10</v>
      </c>
      <c r="D140">
        <v>1.38</v>
      </c>
      <c r="E140">
        <v>0.41399999999999998</v>
      </c>
      <c r="F140" s="1">
        <v>3.8600000000000002E-2</v>
      </c>
      <c r="G140">
        <v>0.69299999999999995</v>
      </c>
      <c r="H140">
        <v>2.09</v>
      </c>
      <c r="I140">
        <v>6</v>
      </c>
      <c r="J140">
        <v>8.02</v>
      </c>
      <c r="K140">
        <v>6.46</v>
      </c>
      <c r="L140">
        <v>5.56</v>
      </c>
      <c r="M140" s="1">
        <v>6.8900000000000003E-2</v>
      </c>
      <c r="N140" s="1">
        <v>4.2000000000000003E-2</v>
      </c>
      <c r="O140">
        <v>2.34</v>
      </c>
      <c r="P140" s="1">
        <v>0.1472</v>
      </c>
      <c r="Q140" s="1">
        <v>0.1384</v>
      </c>
      <c r="R140" s="3">
        <v>28805000</v>
      </c>
      <c r="S140" s="3">
        <v>10217400000</v>
      </c>
      <c r="T140">
        <v>0.21</v>
      </c>
      <c r="U140" s="1">
        <v>0.2455</v>
      </c>
      <c r="V140" s="4">
        <f t="shared" si="10"/>
        <v>3.2166666666666667E-3</v>
      </c>
      <c r="W140" s="5">
        <f t="shared" si="11"/>
        <v>1.8463666666666666E-2</v>
      </c>
      <c r="X140">
        <f t="shared" si="12"/>
        <v>312</v>
      </c>
      <c r="Y140" s="5">
        <f t="shared" si="13"/>
        <v>1790.88</v>
      </c>
      <c r="Z140" s="5">
        <f t="shared" si="14"/>
        <v>5.7606640000000002</v>
      </c>
    </row>
    <row r="141" spans="1:26" x14ac:dyDescent="0.3">
      <c r="A141" t="s">
        <v>1292</v>
      </c>
      <c r="B141" s="5">
        <f>VLOOKUP(A141,Dim!A:B,2)</f>
        <v>29.49</v>
      </c>
      <c r="C141">
        <v>9.93</v>
      </c>
      <c r="D141">
        <v>2.14</v>
      </c>
      <c r="E141">
        <v>0.83</v>
      </c>
      <c r="F141" s="1">
        <v>3.9E-2</v>
      </c>
      <c r="G141">
        <v>0.60799999999999998</v>
      </c>
      <c r="H141">
        <v>9.67</v>
      </c>
      <c r="I141">
        <v>1.02</v>
      </c>
      <c r="J141">
        <v>-3.71</v>
      </c>
      <c r="K141">
        <v>0.69</v>
      </c>
      <c r="L141">
        <v>0.68</v>
      </c>
      <c r="M141" s="1">
        <v>0.81720000000000004</v>
      </c>
      <c r="N141" s="1">
        <v>8.4900000000000003E-2</v>
      </c>
      <c r="O141">
        <v>1.1299999999999999</v>
      </c>
      <c r="P141" s="1">
        <v>0.74450000000000005</v>
      </c>
      <c r="Q141" s="1">
        <v>0.21540000000000001</v>
      </c>
      <c r="R141" s="3">
        <v>86463000</v>
      </c>
      <c r="S141" s="3">
        <v>14482200000</v>
      </c>
      <c r="T141">
        <v>0</v>
      </c>
      <c r="U141" s="1">
        <v>0.1784</v>
      </c>
      <c r="V141" s="4">
        <f t="shared" si="10"/>
        <v>3.2499999999999999E-3</v>
      </c>
      <c r="W141" s="5">
        <f t="shared" si="11"/>
        <v>9.5842499999999997E-2</v>
      </c>
      <c r="X141">
        <f t="shared" si="12"/>
        <v>309</v>
      </c>
      <c r="Y141" s="5">
        <f t="shared" si="13"/>
        <v>9112.41</v>
      </c>
      <c r="Z141" s="5">
        <f t="shared" si="14"/>
        <v>29.615332499999997</v>
      </c>
    </row>
    <row r="142" spans="1:26" x14ac:dyDescent="0.3">
      <c r="A142" t="s">
        <v>1290</v>
      </c>
      <c r="B142" s="5">
        <f>VLOOKUP(A142,Dim!A:B,2)</f>
        <v>58</v>
      </c>
      <c r="C142">
        <v>9.84</v>
      </c>
      <c r="D142">
        <v>1.19</v>
      </c>
      <c r="E142">
        <v>2.363</v>
      </c>
      <c r="F142" s="1">
        <v>2.8400000000000002E-2</v>
      </c>
      <c r="G142">
        <v>0.32600000000000001</v>
      </c>
      <c r="H142">
        <v>2.93</v>
      </c>
      <c r="I142">
        <v>3.64</v>
      </c>
      <c r="J142">
        <v>-0.8</v>
      </c>
      <c r="K142">
        <v>6.88</v>
      </c>
      <c r="L142">
        <v>6.46</v>
      </c>
      <c r="M142" s="1">
        <v>0.64890000000000003</v>
      </c>
      <c r="N142" s="1">
        <v>0.42399999999999999</v>
      </c>
      <c r="O142">
        <v>2.13</v>
      </c>
      <c r="P142" s="1">
        <v>0.1023</v>
      </c>
      <c r="Q142" s="1">
        <v>0.1211</v>
      </c>
      <c r="R142" s="3">
        <v>118192</v>
      </c>
      <c r="S142" s="3">
        <v>8570260000</v>
      </c>
      <c r="T142">
        <v>1.49</v>
      </c>
      <c r="U142" s="1">
        <v>-0.11550000000000001</v>
      </c>
      <c r="V142" s="4">
        <f t="shared" si="10"/>
        <v>2.3666666666666667E-3</v>
      </c>
      <c r="W142" s="5">
        <f t="shared" si="11"/>
        <v>0.13726666666666668</v>
      </c>
      <c r="X142">
        <f t="shared" si="12"/>
        <v>424</v>
      </c>
      <c r="Y142" s="5">
        <f t="shared" si="13"/>
        <v>24592</v>
      </c>
      <c r="Z142" s="5">
        <f t="shared" si="14"/>
        <v>58.201066666666669</v>
      </c>
    </row>
    <row r="143" spans="1:26" x14ac:dyDescent="0.3">
      <c r="A143" t="s">
        <v>1158</v>
      </c>
      <c r="B143" s="5">
        <f>VLOOKUP(A143,Dim!A:B,2)</f>
        <v>0</v>
      </c>
      <c r="C143">
        <v>6.49</v>
      </c>
      <c r="D143">
        <v>0.92</v>
      </c>
      <c r="E143">
        <v>0.248</v>
      </c>
      <c r="F143" s="1">
        <v>7.8200000000000006E-2</v>
      </c>
      <c r="G143">
        <v>0.49399999999999999</v>
      </c>
      <c r="H143">
        <v>1.78</v>
      </c>
      <c r="I143">
        <v>4.5599999999999996</v>
      </c>
      <c r="J143">
        <v>4.12</v>
      </c>
      <c r="K143">
        <v>6.76</v>
      </c>
      <c r="L143">
        <v>6.5</v>
      </c>
      <c r="M143" s="1">
        <v>5.45E-2</v>
      </c>
      <c r="N143" s="1">
        <v>3.8300000000000001E-2</v>
      </c>
      <c r="O143">
        <v>1.91</v>
      </c>
      <c r="P143" s="1">
        <v>0.1236</v>
      </c>
      <c r="Q143" s="1">
        <v>0.1411</v>
      </c>
      <c r="R143">
        <v>664.42</v>
      </c>
      <c r="S143" s="3">
        <v>805027000</v>
      </c>
      <c r="T143">
        <v>0.56000000000000005</v>
      </c>
      <c r="U143" s="1">
        <v>0.2152</v>
      </c>
      <c r="V143" s="4">
        <f t="shared" si="10"/>
        <v>6.5166666666666671E-3</v>
      </c>
      <c r="W143" s="5">
        <f t="shared" si="11"/>
        <v>0</v>
      </c>
      <c r="X143" t="e">
        <f t="shared" si="12"/>
        <v>#DIV/0!</v>
      </c>
      <c r="Y143" s="5" t="e">
        <f t="shared" si="13"/>
        <v>#DIV/0!</v>
      </c>
      <c r="Z143" s="5" t="e">
        <f t="shared" si="14"/>
        <v>#DIV/0!</v>
      </c>
    </row>
    <row r="144" spans="1:26" x14ac:dyDescent="0.3">
      <c r="A144" t="s">
        <v>1289</v>
      </c>
      <c r="B144" s="5">
        <f>VLOOKUP(A144,Dim!A:B,2)</f>
        <v>106.55</v>
      </c>
      <c r="C144">
        <v>9.84</v>
      </c>
      <c r="D144">
        <v>0.83</v>
      </c>
      <c r="E144">
        <v>0.15</v>
      </c>
      <c r="F144" s="1">
        <v>1.12E-2</v>
      </c>
      <c r="G144">
        <v>0.186</v>
      </c>
      <c r="H144">
        <v>5.86</v>
      </c>
      <c r="I144">
        <v>3.78</v>
      </c>
      <c r="J144">
        <v>-0.68</v>
      </c>
      <c r="K144">
        <v>8.0399999999999991</v>
      </c>
      <c r="L144">
        <v>5.79</v>
      </c>
      <c r="M144" s="1">
        <v>3.95E-2</v>
      </c>
      <c r="N144" s="1">
        <v>1.7100000000000001E-2</v>
      </c>
      <c r="O144">
        <v>1.07</v>
      </c>
      <c r="P144" s="1">
        <v>6.3200000000000006E-2</v>
      </c>
      <c r="Q144" s="1">
        <v>8.48E-2</v>
      </c>
      <c r="R144">
        <v>0</v>
      </c>
      <c r="S144" s="3">
        <v>21435000000</v>
      </c>
      <c r="T144">
        <v>1.18</v>
      </c>
      <c r="U144" s="1">
        <v>0.11310000000000001</v>
      </c>
      <c r="V144" s="4">
        <f t="shared" si="10"/>
        <v>9.3333333333333332E-4</v>
      </c>
      <c r="W144" s="5">
        <f t="shared" si="11"/>
        <v>9.9446666666666669E-2</v>
      </c>
      <c r="X144">
        <f t="shared" si="12"/>
        <v>1073</v>
      </c>
      <c r="Y144" s="5">
        <f t="shared" si="13"/>
        <v>114328.15</v>
      </c>
      <c r="Z144" s="5">
        <f t="shared" si="14"/>
        <v>106.70627333333334</v>
      </c>
    </row>
    <row r="145" spans="1:26" x14ac:dyDescent="0.3">
      <c r="A145" t="s">
        <v>1288</v>
      </c>
      <c r="B145" s="5">
        <f>VLOOKUP(A145,Dim!A:B,2)</f>
        <v>5.74</v>
      </c>
      <c r="C145">
        <v>9.83</v>
      </c>
      <c r="D145">
        <v>1.06</v>
      </c>
      <c r="E145">
        <v>0.19700000000000001</v>
      </c>
      <c r="F145" s="1">
        <v>2.29E-2</v>
      </c>
      <c r="G145">
        <v>9.5000000000000001E-2</v>
      </c>
      <c r="H145">
        <v>-1.27</v>
      </c>
      <c r="I145">
        <v>0.88</v>
      </c>
      <c r="J145">
        <v>-0.14000000000000001</v>
      </c>
      <c r="K145">
        <v>5.9</v>
      </c>
      <c r="L145">
        <v>3.45</v>
      </c>
      <c r="M145" s="1">
        <v>0.224</v>
      </c>
      <c r="N145" s="1">
        <v>2.01E-2</v>
      </c>
      <c r="O145">
        <v>0.77</v>
      </c>
      <c r="P145" s="1">
        <v>0.1464</v>
      </c>
      <c r="Q145" s="1">
        <v>0.1081</v>
      </c>
      <c r="R145" s="3">
        <v>30480500</v>
      </c>
      <c r="S145" s="3">
        <v>2648980000</v>
      </c>
      <c r="T145">
        <v>7.36</v>
      </c>
      <c r="U145" s="1">
        <v>0.34289999999999998</v>
      </c>
      <c r="V145" s="4">
        <f t="shared" si="10"/>
        <v>1.9083333333333333E-3</v>
      </c>
      <c r="W145" s="5">
        <f t="shared" si="11"/>
        <v>1.0953833333333333E-2</v>
      </c>
      <c r="X145">
        <f t="shared" si="12"/>
        <v>526</v>
      </c>
      <c r="Y145" s="5">
        <f t="shared" si="13"/>
        <v>3019.2400000000002</v>
      </c>
      <c r="Z145" s="5">
        <f t="shared" si="14"/>
        <v>5.7617163333333332</v>
      </c>
    </row>
    <row r="146" spans="1:26" x14ac:dyDescent="0.3">
      <c r="A146" t="s">
        <v>1286</v>
      </c>
      <c r="B146" s="5">
        <f>VLOOKUP(A146,Dim!A:B,2)</f>
        <v>5.74</v>
      </c>
      <c r="C146">
        <v>9.82</v>
      </c>
      <c r="D146">
        <v>1.84</v>
      </c>
      <c r="E146">
        <v>0.89800000000000002</v>
      </c>
      <c r="F146" s="1">
        <v>9.1800000000000007E-2</v>
      </c>
      <c r="G146">
        <v>0.89700000000000002</v>
      </c>
      <c r="H146">
        <v>2.83</v>
      </c>
      <c r="I146">
        <v>7.52</v>
      </c>
      <c r="J146">
        <v>6.34</v>
      </c>
      <c r="K146">
        <v>7.45</v>
      </c>
      <c r="L146">
        <v>6.18</v>
      </c>
      <c r="M146" s="1">
        <v>0.11940000000000001</v>
      </c>
      <c r="N146" s="1">
        <v>9.1399999999999995E-2</v>
      </c>
      <c r="O146">
        <v>1.94</v>
      </c>
      <c r="P146" s="1">
        <v>0.17230000000000001</v>
      </c>
      <c r="Q146" s="1">
        <v>0.18770000000000001</v>
      </c>
      <c r="R146" s="3">
        <v>8539510</v>
      </c>
      <c r="S146" s="3">
        <v>755919000</v>
      </c>
      <c r="T146">
        <v>0.47</v>
      </c>
      <c r="U146" s="1">
        <v>7.46E-2</v>
      </c>
      <c r="V146" s="4">
        <f t="shared" si="10"/>
        <v>7.6500000000000005E-3</v>
      </c>
      <c r="W146" s="5">
        <f t="shared" si="11"/>
        <v>4.3911000000000006E-2</v>
      </c>
      <c r="X146">
        <f t="shared" si="12"/>
        <v>132</v>
      </c>
      <c r="Y146" s="5">
        <f t="shared" si="13"/>
        <v>757.68000000000006</v>
      </c>
      <c r="Z146" s="5">
        <f t="shared" si="14"/>
        <v>5.7962520000000008</v>
      </c>
    </row>
    <row r="147" spans="1:26" x14ac:dyDescent="0.3">
      <c r="A147" t="s">
        <v>1283</v>
      </c>
      <c r="B147" s="5">
        <f>VLOOKUP(A147,Dim!A:B,2)</f>
        <v>29.49</v>
      </c>
      <c r="C147">
        <v>9.81</v>
      </c>
      <c r="D147">
        <v>1.02</v>
      </c>
      <c r="E147">
        <v>0.36699999999999999</v>
      </c>
      <c r="F147" s="1">
        <v>8.2299999999999998E-2</v>
      </c>
      <c r="G147">
        <v>0.52100000000000002</v>
      </c>
      <c r="H147">
        <v>1.31</v>
      </c>
      <c r="I147">
        <v>6.95</v>
      </c>
      <c r="J147">
        <v>2.2599999999999998</v>
      </c>
      <c r="K147">
        <v>7.02</v>
      </c>
      <c r="L147">
        <v>6.15</v>
      </c>
      <c r="M147" s="1">
        <v>5.28E-2</v>
      </c>
      <c r="N147" s="1">
        <v>3.7400000000000003E-2</v>
      </c>
      <c r="O147">
        <v>2.2200000000000002</v>
      </c>
      <c r="P147" s="1">
        <v>0.13420000000000001</v>
      </c>
      <c r="Q147" s="1">
        <v>0.1042</v>
      </c>
      <c r="R147" s="3">
        <v>31775.7</v>
      </c>
      <c r="S147" s="3">
        <v>773997000</v>
      </c>
      <c r="T147">
        <v>0.52</v>
      </c>
      <c r="U147" s="1">
        <v>-4.2000000000000003E-2</v>
      </c>
      <c r="V147" s="4">
        <f t="shared" si="10"/>
        <v>6.8583333333333335E-3</v>
      </c>
      <c r="W147" s="5">
        <f t="shared" si="11"/>
        <v>0.20225224999999999</v>
      </c>
      <c r="X147">
        <f t="shared" si="12"/>
        <v>147</v>
      </c>
      <c r="Y147" s="5">
        <f t="shared" si="13"/>
        <v>4335.03</v>
      </c>
      <c r="Z147" s="5">
        <f t="shared" si="14"/>
        <v>29.73108075</v>
      </c>
    </row>
    <row r="148" spans="1:26" x14ac:dyDescent="0.3">
      <c r="A148" t="s">
        <v>1192</v>
      </c>
      <c r="B148" s="5">
        <f>VLOOKUP(A148,Dim!A:B,2)</f>
        <v>0</v>
      </c>
      <c r="C148">
        <v>7.27</v>
      </c>
      <c r="D148">
        <v>2.38</v>
      </c>
      <c r="E148">
        <v>0.77700000000000002</v>
      </c>
      <c r="F148" s="1">
        <v>2.53E-2</v>
      </c>
      <c r="G148">
        <v>0.48099999999999998</v>
      </c>
      <c r="H148">
        <v>1.52</v>
      </c>
      <c r="I148">
        <v>5.68</v>
      </c>
      <c r="J148">
        <v>-2.8</v>
      </c>
      <c r="K148">
        <v>6.55</v>
      </c>
      <c r="L148">
        <v>5.75</v>
      </c>
      <c r="M148" s="1">
        <v>0.1368</v>
      </c>
      <c r="N148" s="1">
        <v>0.1042</v>
      </c>
      <c r="O148">
        <v>2.0299999999999998</v>
      </c>
      <c r="P148" s="1">
        <v>0.1041</v>
      </c>
      <c r="Q148" s="1">
        <v>0.32790000000000002</v>
      </c>
      <c r="R148" s="3">
        <v>46631800</v>
      </c>
      <c r="S148" s="3">
        <v>1179660000</v>
      </c>
      <c r="T148">
        <v>1.01</v>
      </c>
      <c r="U148" s="1">
        <v>8.9200000000000002E-2</v>
      </c>
      <c r="V148" s="4">
        <f t="shared" si="10"/>
        <v>2.1083333333333332E-3</v>
      </c>
      <c r="W148" s="5">
        <f t="shared" si="11"/>
        <v>0</v>
      </c>
      <c r="X148" t="e">
        <f t="shared" si="12"/>
        <v>#DIV/0!</v>
      </c>
      <c r="Y148" s="5" t="e">
        <f t="shared" si="13"/>
        <v>#DIV/0!</v>
      </c>
      <c r="Z148" s="5" t="e">
        <f t="shared" si="14"/>
        <v>#DIV/0!</v>
      </c>
    </row>
    <row r="149" spans="1:26" x14ac:dyDescent="0.3">
      <c r="A149" t="s">
        <v>1285</v>
      </c>
      <c r="B149" s="5">
        <f>VLOOKUP(A149,Dim!A:B,2)</f>
        <v>5.74</v>
      </c>
      <c r="C149">
        <v>9.81</v>
      </c>
      <c r="D149">
        <v>0.57999999999999996</v>
      </c>
      <c r="E149">
        <v>0.46400000000000002</v>
      </c>
      <c r="F149" s="1">
        <v>4.1500000000000002E-2</v>
      </c>
      <c r="G149">
        <v>0.36899999999999999</v>
      </c>
      <c r="H149">
        <v>1.47</v>
      </c>
      <c r="I149">
        <v>5.0599999999999996</v>
      </c>
      <c r="J149">
        <v>20.34</v>
      </c>
      <c r="K149">
        <v>6.5</v>
      </c>
      <c r="L149">
        <v>4.21</v>
      </c>
      <c r="M149" s="1">
        <v>9.1700000000000004E-2</v>
      </c>
      <c r="N149" s="1">
        <v>4.7800000000000002E-2</v>
      </c>
      <c r="O149">
        <v>2.89</v>
      </c>
      <c r="P149" s="1">
        <v>8.77E-2</v>
      </c>
      <c r="Q149" s="1">
        <v>5.9499999999999997E-2</v>
      </c>
      <c r="R149" s="3">
        <v>445970</v>
      </c>
      <c r="S149" s="3">
        <v>54923000000</v>
      </c>
      <c r="T149">
        <v>0.33</v>
      </c>
      <c r="U149" s="1">
        <v>-4.8999999999999998E-3</v>
      </c>
      <c r="V149" s="4">
        <f t="shared" si="10"/>
        <v>3.4583333333333337E-3</v>
      </c>
      <c r="W149" s="5">
        <f t="shared" si="11"/>
        <v>1.9850833333333335E-2</v>
      </c>
      <c r="X149">
        <f t="shared" si="12"/>
        <v>291</v>
      </c>
      <c r="Y149" s="5">
        <f t="shared" si="13"/>
        <v>1670.3400000000001</v>
      </c>
      <c r="Z149" s="5">
        <f t="shared" si="14"/>
        <v>5.7765925000000005</v>
      </c>
    </row>
    <row r="150" spans="1:26" x14ac:dyDescent="0.3">
      <c r="A150" t="s">
        <v>1282</v>
      </c>
      <c r="B150" s="5">
        <f>VLOOKUP(A150,Dim!A:B,2)</f>
        <v>5.74</v>
      </c>
      <c r="C150">
        <v>9.77</v>
      </c>
      <c r="D150">
        <v>0.56999999999999995</v>
      </c>
      <c r="E150">
        <v>0.159</v>
      </c>
      <c r="F150" s="1">
        <v>3.1300000000000001E-2</v>
      </c>
      <c r="G150">
        <v>0.126</v>
      </c>
      <c r="H150">
        <v>0.5</v>
      </c>
      <c r="I150">
        <v>1.74</v>
      </c>
      <c r="J150">
        <v>6.76</v>
      </c>
      <c r="K150">
        <v>3.18</v>
      </c>
      <c r="L150">
        <v>2.06</v>
      </c>
      <c r="M150" s="1">
        <v>9.1499999999999998E-2</v>
      </c>
      <c r="N150" s="1">
        <v>4.7800000000000002E-2</v>
      </c>
      <c r="O150">
        <v>2.89</v>
      </c>
      <c r="P150" s="1">
        <v>8.7400000000000005E-2</v>
      </c>
      <c r="Q150" s="1">
        <v>5.8099999999999999E-2</v>
      </c>
      <c r="R150" s="3">
        <v>61592000</v>
      </c>
      <c r="S150" s="3">
        <v>19373900000</v>
      </c>
      <c r="T150">
        <v>0.93</v>
      </c>
      <c r="U150" s="1">
        <v>-4.8999999999999998E-3</v>
      </c>
      <c r="V150" s="4">
        <f t="shared" si="10"/>
        <v>2.6083333333333336E-3</v>
      </c>
      <c r="W150" s="5">
        <f t="shared" si="11"/>
        <v>1.4971833333333335E-2</v>
      </c>
      <c r="X150">
        <f t="shared" si="12"/>
        <v>385</v>
      </c>
      <c r="Y150" s="5">
        <f t="shared" si="13"/>
        <v>2209.9</v>
      </c>
      <c r="Z150" s="5">
        <f t="shared" si="14"/>
        <v>5.7641558333333345</v>
      </c>
    </row>
    <row r="151" spans="1:26" x14ac:dyDescent="0.3">
      <c r="A151" t="s">
        <v>1281</v>
      </c>
      <c r="B151" s="5">
        <f>VLOOKUP(A151,Dim!A:B,2)</f>
        <v>5.74</v>
      </c>
      <c r="C151">
        <v>9.76</v>
      </c>
      <c r="D151">
        <v>1.37</v>
      </c>
      <c r="E151">
        <v>1.6140000000000001</v>
      </c>
      <c r="F151" s="1">
        <v>5.6099999999999997E-2</v>
      </c>
      <c r="G151">
        <v>0.754</v>
      </c>
      <c r="H151">
        <v>8.77</v>
      </c>
      <c r="I151">
        <v>6.55</v>
      </c>
      <c r="J151">
        <v>-3.59</v>
      </c>
      <c r="K151">
        <v>7.44</v>
      </c>
      <c r="L151">
        <v>3.86</v>
      </c>
      <c r="M151" s="1">
        <v>0.24640000000000001</v>
      </c>
      <c r="N151" s="1">
        <v>0.16539999999999999</v>
      </c>
      <c r="O151">
        <v>1.56</v>
      </c>
      <c r="P151" s="1">
        <v>0.13739999999999999</v>
      </c>
      <c r="Q151" s="1">
        <v>0.14080000000000001</v>
      </c>
      <c r="R151" s="3">
        <v>1317130</v>
      </c>
      <c r="S151" s="3">
        <v>1265580000</v>
      </c>
      <c r="T151">
        <v>0.44</v>
      </c>
      <c r="U151" s="1">
        <v>0.2324</v>
      </c>
      <c r="V151" s="4">
        <f t="shared" si="10"/>
        <v>4.6749999999999995E-3</v>
      </c>
      <c r="W151" s="5">
        <f t="shared" si="11"/>
        <v>2.6834499999999997E-2</v>
      </c>
      <c r="X151">
        <f t="shared" si="12"/>
        <v>215</v>
      </c>
      <c r="Y151" s="5">
        <f t="shared" si="13"/>
        <v>1234.1000000000001</v>
      </c>
      <c r="Z151" s="5">
        <f t="shared" si="14"/>
        <v>5.7694174999999994</v>
      </c>
    </row>
    <row r="152" spans="1:26" x14ac:dyDescent="0.3">
      <c r="A152" t="s">
        <v>1279</v>
      </c>
      <c r="B152" s="5">
        <f>VLOOKUP(A152,Dim!A:B,2)</f>
        <v>51.8</v>
      </c>
      <c r="C152">
        <v>9.74</v>
      </c>
      <c r="D152">
        <v>1.83</v>
      </c>
      <c r="E152">
        <v>0.94699999999999995</v>
      </c>
      <c r="F152" s="1">
        <v>3.9899999999999998E-2</v>
      </c>
      <c r="G152">
        <v>0.41899999999999998</v>
      </c>
      <c r="H152">
        <v>9.9600000000000009</v>
      </c>
      <c r="I152">
        <v>5.05</v>
      </c>
      <c r="J152">
        <v>-0.86</v>
      </c>
      <c r="K152">
        <v>9.4700000000000006</v>
      </c>
      <c r="L152">
        <v>7.27</v>
      </c>
      <c r="M152" s="1">
        <v>0.18759999999999999</v>
      </c>
      <c r="N152" s="1">
        <v>0.12429999999999999</v>
      </c>
      <c r="O152">
        <v>1.23</v>
      </c>
      <c r="P152" s="1">
        <v>9.69E-2</v>
      </c>
      <c r="Q152" s="1">
        <v>0.18740000000000001</v>
      </c>
      <c r="R152" s="3">
        <v>81229.5</v>
      </c>
      <c r="S152" s="3">
        <v>18226900000</v>
      </c>
      <c r="T152">
        <v>2.0699999999999998</v>
      </c>
      <c r="U152" s="1">
        <v>0.10199999999999999</v>
      </c>
      <c r="V152" s="4">
        <f t="shared" si="10"/>
        <v>3.3249999999999998E-3</v>
      </c>
      <c r="W152" s="5">
        <f t="shared" si="11"/>
        <v>0.17223499999999997</v>
      </c>
      <c r="X152">
        <f t="shared" si="12"/>
        <v>302</v>
      </c>
      <c r="Y152" s="5">
        <f t="shared" si="13"/>
        <v>15643.599999999999</v>
      </c>
      <c r="Z152" s="5">
        <f t="shared" si="14"/>
        <v>52.014969999999991</v>
      </c>
    </row>
    <row r="153" spans="1:26" x14ac:dyDescent="0.3">
      <c r="A153" t="s">
        <v>1278</v>
      </c>
      <c r="B153" s="5">
        <f>VLOOKUP(A153,Dim!A:B,2)</f>
        <v>5.74</v>
      </c>
      <c r="C153">
        <v>9.7100000000000009</v>
      </c>
      <c r="D153">
        <v>0.56000000000000005</v>
      </c>
      <c r="E153">
        <v>0.158</v>
      </c>
      <c r="F153" s="1">
        <v>3.15E-2</v>
      </c>
      <c r="G153">
        <v>0.126</v>
      </c>
      <c r="H153">
        <v>0.5</v>
      </c>
      <c r="I153">
        <v>1.73</v>
      </c>
      <c r="J153">
        <v>6.73</v>
      </c>
      <c r="K153">
        <v>3.17</v>
      </c>
      <c r="L153">
        <v>2.0499999999999998</v>
      </c>
      <c r="M153" s="1">
        <v>9.1499999999999998E-2</v>
      </c>
      <c r="N153" s="1">
        <v>4.7800000000000002E-2</v>
      </c>
      <c r="O153">
        <v>2.89</v>
      </c>
      <c r="P153" s="1">
        <v>8.7400000000000005E-2</v>
      </c>
      <c r="Q153" s="1">
        <v>5.8099999999999999E-2</v>
      </c>
      <c r="R153" s="3">
        <v>370830</v>
      </c>
      <c r="S153" s="3">
        <v>19373900000</v>
      </c>
      <c r="T153">
        <v>0.93</v>
      </c>
      <c r="U153" s="1">
        <v>-4.8999999999999998E-3</v>
      </c>
      <c r="V153" s="4">
        <f t="shared" si="10"/>
        <v>2.6250000000000002E-3</v>
      </c>
      <c r="W153" s="5">
        <f t="shared" si="11"/>
        <v>1.5067500000000001E-2</v>
      </c>
      <c r="X153">
        <f t="shared" si="12"/>
        <v>382</v>
      </c>
      <c r="Y153" s="5">
        <f t="shared" si="13"/>
        <v>2192.6800000000003</v>
      </c>
      <c r="Z153" s="5">
        <f t="shared" si="14"/>
        <v>5.7557850000000004</v>
      </c>
    </row>
    <row r="154" spans="1:26" x14ac:dyDescent="0.3">
      <c r="A154" t="s">
        <v>1145</v>
      </c>
      <c r="B154" s="5">
        <f>VLOOKUP(A154,Dim!A:B,2)</f>
        <v>0</v>
      </c>
      <c r="C154">
        <v>6.13</v>
      </c>
      <c r="D154">
        <v>0.86</v>
      </c>
      <c r="E154">
        <v>0.23400000000000001</v>
      </c>
      <c r="F154" s="1">
        <v>9.1200000000000003E-2</v>
      </c>
      <c r="G154">
        <v>0.46600000000000003</v>
      </c>
      <c r="H154">
        <v>1.68</v>
      </c>
      <c r="I154">
        <v>4.3</v>
      </c>
      <c r="J154">
        <v>3.89</v>
      </c>
      <c r="K154">
        <v>6.51</v>
      </c>
      <c r="L154">
        <v>6.25</v>
      </c>
      <c r="M154" s="1">
        <v>5.45E-2</v>
      </c>
      <c r="N154" s="1">
        <v>3.8300000000000001E-2</v>
      </c>
      <c r="O154">
        <v>1.91</v>
      </c>
      <c r="P154" s="1">
        <v>0.1236</v>
      </c>
      <c r="Q154" s="1">
        <v>0.1411</v>
      </c>
      <c r="R154" s="3">
        <v>50999.4</v>
      </c>
      <c r="S154" s="3">
        <v>805027000</v>
      </c>
      <c r="T154">
        <v>0.56000000000000005</v>
      </c>
      <c r="U154" s="1">
        <v>0.2152</v>
      </c>
      <c r="V154" s="4">
        <f t="shared" si="10"/>
        <v>7.6E-3</v>
      </c>
      <c r="W154" s="5">
        <f t="shared" si="11"/>
        <v>0</v>
      </c>
      <c r="X154" t="e">
        <f t="shared" si="12"/>
        <v>#DIV/0!</v>
      </c>
      <c r="Y154" s="5" t="e">
        <f t="shared" si="13"/>
        <v>#DIV/0!</v>
      </c>
      <c r="Z154" s="5" t="e">
        <f t="shared" si="14"/>
        <v>#DIV/0!</v>
      </c>
    </row>
    <row r="155" spans="1:26" x14ac:dyDescent="0.3">
      <c r="A155" t="s">
        <v>1274</v>
      </c>
      <c r="B155" s="5">
        <f>VLOOKUP(A155,Dim!A:B,2)</f>
        <v>29.49</v>
      </c>
      <c r="C155">
        <v>9.5</v>
      </c>
      <c r="D155">
        <v>3.05</v>
      </c>
      <c r="E155">
        <v>0.71</v>
      </c>
      <c r="F155" s="1">
        <v>0.1051</v>
      </c>
      <c r="G155">
        <v>0.41799999999999998</v>
      </c>
      <c r="H155">
        <v>5.45</v>
      </c>
      <c r="I155">
        <v>3.65</v>
      </c>
      <c r="J155">
        <v>-0.79</v>
      </c>
      <c r="K155">
        <v>7.37</v>
      </c>
      <c r="L155">
        <v>5.86</v>
      </c>
      <c r="M155" s="1">
        <v>0.1948</v>
      </c>
      <c r="N155" s="1">
        <v>0.10150000000000001</v>
      </c>
      <c r="O155">
        <v>1.4</v>
      </c>
      <c r="P155" s="1">
        <v>0.1381</v>
      </c>
      <c r="Q155" s="1">
        <v>0.3211</v>
      </c>
      <c r="R155" s="3">
        <v>9425.49</v>
      </c>
      <c r="S155" s="3">
        <v>4365340000</v>
      </c>
      <c r="T155">
        <v>4</v>
      </c>
      <c r="U155" s="1">
        <v>7.9799999999999996E-2</v>
      </c>
      <c r="V155" s="4">
        <f t="shared" si="10"/>
        <v>8.7583333333333332E-3</v>
      </c>
      <c r="W155" s="5">
        <f t="shared" si="11"/>
        <v>0.25828324999999996</v>
      </c>
      <c r="X155">
        <f t="shared" si="12"/>
        <v>116</v>
      </c>
      <c r="Y155" s="5">
        <f t="shared" si="13"/>
        <v>3420.8399999999997</v>
      </c>
      <c r="Z155" s="5">
        <f t="shared" si="14"/>
        <v>29.960856999999997</v>
      </c>
    </row>
    <row r="156" spans="1:26" x14ac:dyDescent="0.3">
      <c r="A156" t="s">
        <v>1272</v>
      </c>
      <c r="B156" s="5">
        <f>VLOOKUP(A156,Dim!A:B,2)</f>
        <v>3.95</v>
      </c>
      <c r="C156">
        <v>9.43</v>
      </c>
      <c r="D156">
        <v>0.59</v>
      </c>
      <c r="E156">
        <v>0</v>
      </c>
      <c r="F156" s="1">
        <v>0.08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 s="1">
        <v>0</v>
      </c>
      <c r="N156" s="1">
        <v>0</v>
      </c>
      <c r="O156">
        <v>0</v>
      </c>
      <c r="P156" s="1">
        <v>0</v>
      </c>
      <c r="Q156" s="1">
        <v>6.2799999999999995E-2</v>
      </c>
      <c r="R156" s="3">
        <v>2750.63</v>
      </c>
      <c r="S156" s="3">
        <v>142483000</v>
      </c>
      <c r="T156">
        <v>0</v>
      </c>
      <c r="U156" s="1">
        <v>8.5000000000000006E-2</v>
      </c>
      <c r="V156" s="4">
        <f t="shared" si="10"/>
        <v>6.6666666666666671E-3</v>
      </c>
      <c r="W156" s="5">
        <f t="shared" si="11"/>
        <v>2.6333333333333337E-2</v>
      </c>
      <c r="X156">
        <f t="shared" si="12"/>
        <v>151</v>
      </c>
      <c r="Y156" s="5">
        <f t="shared" si="13"/>
        <v>596.45000000000005</v>
      </c>
      <c r="Z156" s="5">
        <f t="shared" si="14"/>
        <v>3.9763333333333337</v>
      </c>
    </row>
    <row r="157" spans="1:26" x14ac:dyDescent="0.3">
      <c r="A157" t="s">
        <v>1270</v>
      </c>
      <c r="B157" s="5">
        <f>VLOOKUP(A157,Dim!A:B,2)</f>
        <v>106.55</v>
      </c>
      <c r="C157">
        <v>9.39</v>
      </c>
      <c r="D157">
        <v>0.53</v>
      </c>
      <c r="E157">
        <v>0.312</v>
      </c>
      <c r="F157" s="1">
        <v>3.8100000000000002E-2</v>
      </c>
      <c r="G157">
        <v>0.17499999999999999</v>
      </c>
      <c r="H157">
        <v>-0.96</v>
      </c>
      <c r="I157">
        <v>2.2200000000000002</v>
      </c>
      <c r="J157">
        <v>-0.38</v>
      </c>
      <c r="K157">
        <v>6.8</v>
      </c>
      <c r="L157">
        <v>4.26</v>
      </c>
      <c r="M157" s="1">
        <v>0.14080000000000001</v>
      </c>
      <c r="N157" s="1">
        <v>3.3300000000000003E-2</v>
      </c>
      <c r="O157">
        <v>0.53</v>
      </c>
      <c r="P157" s="1">
        <v>8.8200000000000001E-2</v>
      </c>
      <c r="Q157" s="1">
        <v>5.6399999999999999E-2</v>
      </c>
      <c r="R157" s="3">
        <v>3466.16</v>
      </c>
      <c r="S157" s="3">
        <v>5211990000</v>
      </c>
      <c r="T157">
        <v>1.1200000000000001</v>
      </c>
      <c r="U157" s="1">
        <v>3.1600000000000003E-2</v>
      </c>
      <c r="V157" s="4">
        <f t="shared" si="10"/>
        <v>3.1750000000000003E-3</v>
      </c>
      <c r="W157" s="5">
        <f t="shared" si="11"/>
        <v>0.33829625000000002</v>
      </c>
      <c r="X157">
        <f t="shared" si="12"/>
        <v>316</v>
      </c>
      <c r="Y157" s="5">
        <f t="shared" si="13"/>
        <v>33669.799999999996</v>
      </c>
      <c r="Z157" s="5">
        <f t="shared" si="14"/>
        <v>106.90161500000001</v>
      </c>
    </row>
    <row r="158" spans="1:26" x14ac:dyDescent="0.3">
      <c r="A158" t="s">
        <v>1269</v>
      </c>
      <c r="B158" s="5">
        <f>VLOOKUP(A158,Dim!A:B,2)</f>
        <v>58</v>
      </c>
      <c r="C158">
        <v>9.31</v>
      </c>
      <c r="D158">
        <v>0.55000000000000004</v>
      </c>
      <c r="E158">
        <v>0.33700000000000002</v>
      </c>
      <c r="F158" s="1">
        <v>1.6500000000000001E-2</v>
      </c>
      <c r="G158">
        <v>0.13100000000000001</v>
      </c>
      <c r="H158">
        <v>1.01</v>
      </c>
      <c r="I158">
        <v>1.21</v>
      </c>
      <c r="J158">
        <v>-0.28000000000000003</v>
      </c>
      <c r="K158">
        <v>4.93</v>
      </c>
      <c r="L158">
        <v>3.51</v>
      </c>
      <c r="M158" s="1">
        <v>0.27850000000000003</v>
      </c>
      <c r="N158" s="1">
        <v>7.2099999999999997E-2</v>
      </c>
      <c r="O158">
        <v>2.2200000000000002</v>
      </c>
      <c r="P158" s="1">
        <v>0.12939999999999999</v>
      </c>
      <c r="Q158" s="1">
        <v>5.91E-2</v>
      </c>
      <c r="R158" s="3">
        <v>18619600</v>
      </c>
      <c r="S158" s="3">
        <v>2379050000</v>
      </c>
      <c r="T158">
        <v>2.2999999999999998</v>
      </c>
      <c r="U158" s="1">
        <v>0.18690000000000001</v>
      </c>
      <c r="V158" s="4">
        <f t="shared" si="10"/>
        <v>1.3750000000000001E-3</v>
      </c>
      <c r="W158" s="5">
        <f t="shared" si="11"/>
        <v>7.9750000000000001E-2</v>
      </c>
      <c r="X158">
        <f t="shared" si="12"/>
        <v>729</v>
      </c>
      <c r="Y158" s="5">
        <f t="shared" si="13"/>
        <v>42282</v>
      </c>
      <c r="Z158" s="5">
        <f t="shared" si="14"/>
        <v>58.137750000000004</v>
      </c>
    </row>
    <row r="159" spans="1:26" x14ac:dyDescent="0.3">
      <c r="A159" t="s">
        <v>1266</v>
      </c>
      <c r="B159" s="5">
        <f>VLOOKUP(A159,Dim!A:B,2)</f>
        <v>5.74</v>
      </c>
      <c r="C159">
        <v>9.15</v>
      </c>
      <c r="D159">
        <v>0.74</v>
      </c>
      <c r="E159">
        <v>1.0409999999999999</v>
      </c>
      <c r="F159" s="1">
        <v>7.0699999999999999E-2</v>
      </c>
      <c r="G159">
        <v>0.58299999999999996</v>
      </c>
      <c r="H159">
        <v>1.95</v>
      </c>
      <c r="I159">
        <v>14.19</v>
      </c>
      <c r="J159">
        <v>2.79</v>
      </c>
      <c r="K159">
        <v>10.35</v>
      </c>
      <c r="L159">
        <v>4.01</v>
      </c>
      <c r="M159" s="1">
        <v>7.3400000000000007E-2</v>
      </c>
      <c r="N159" s="1">
        <v>0.1139</v>
      </c>
      <c r="O159">
        <v>3.46</v>
      </c>
      <c r="P159" s="1">
        <v>5.5300000000000002E-2</v>
      </c>
      <c r="Q159" s="1">
        <v>8.09E-2</v>
      </c>
      <c r="R159" s="3">
        <v>3263980</v>
      </c>
      <c r="S159" s="3">
        <v>3369260000</v>
      </c>
      <c r="T159">
        <v>0.09</v>
      </c>
      <c r="U159" s="1">
        <v>1.37E-2</v>
      </c>
      <c r="V159" s="4">
        <f t="shared" si="10"/>
        <v>5.8916666666666666E-3</v>
      </c>
      <c r="W159" s="5">
        <f t="shared" si="11"/>
        <v>3.381816666666667E-2</v>
      </c>
      <c r="X159">
        <f t="shared" si="12"/>
        <v>171</v>
      </c>
      <c r="Y159" s="5">
        <f t="shared" si="13"/>
        <v>981.54000000000008</v>
      </c>
      <c r="Z159" s="5">
        <f t="shared" si="14"/>
        <v>5.7829065000000002</v>
      </c>
    </row>
    <row r="160" spans="1:26" x14ac:dyDescent="0.3">
      <c r="A160" t="s">
        <v>1264</v>
      </c>
      <c r="B160" s="5">
        <f>VLOOKUP(A160,Dim!A:B,2)</f>
        <v>5.74</v>
      </c>
      <c r="C160">
        <v>9.14</v>
      </c>
      <c r="D160">
        <v>1.89</v>
      </c>
      <c r="E160">
        <v>0</v>
      </c>
      <c r="F160" s="1">
        <v>7.4499999999999997E-2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 s="1">
        <v>0</v>
      </c>
      <c r="N160" s="1">
        <v>0</v>
      </c>
      <c r="O160">
        <v>0</v>
      </c>
      <c r="P160" s="1">
        <v>0</v>
      </c>
      <c r="Q160" s="1">
        <v>0.20660000000000001</v>
      </c>
      <c r="R160" s="3">
        <v>18538300</v>
      </c>
      <c r="S160" s="3">
        <v>200814000000</v>
      </c>
      <c r="T160">
        <v>0</v>
      </c>
      <c r="U160" s="1">
        <v>0.92420000000000002</v>
      </c>
      <c r="V160" s="4">
        <f t="shared" si="10"/>
        <v>6.2083333333333331E-3</v>
      </c>
      <c r="W160" s="5">
        <f t="shared" si="11"/>
        <v>3.5635833333333332E-2</v>
      </c>
      <c r="X160">
        <f t="shared" si="12"/>
        <v>163</v>
      </c>
      <c r="Y160" s="5">
        <f t="shared" si="13"/>
        <v>935.62</v>
      </c>
      <c r="Z160" s="5">
        <f t="shared" si="14"/>
        <v>5.8086408333333335</v>
      </c>
    </row>
    <row r="161" spans="1:26" x14ac:dyDescent="0.3">
      <c r="A161" t="s">
        <v>1263</v>
      </c>
      <c r="B161" s="5">
        <f>VLOOKUP(A161,Dim!A:B,2)</f>
        <v>3.95</v>
      </c>
      <c r="C161">
        <v>9.08</v>
      </c>
      <c r="D161">
        <v>1.91</v>
      </c>
      <c r="E161">
        <v>0</v>
      </c>
      <c r="F161" s="1">
        <v>3.3300000000000003E-2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1">
        <v>0</v>
      </c>
      <c r="N161" s="1">
        <v>0</v>
      </c>
      <c r="O161">
        <v>0</v>
      </c>
      <c r="P161" s="1">
        <v>0</v>
      </c>
      <c r="Q161" s="1">
        <v>0.21049999999999999</v>
      </c>
      <c r="R161" s="3">
        <v>55175.7</v>
      </c>
      <c r="S161" s="3">
        <v>63703300000</v>
      </c>
      <c r="T161">
        <v>0</v>
      </c>
      <c r="U161" s="1">
        <v>0.1391</v>
      </c>
      <c r="V161" s="4">
        <f t="shared" si="10"/>
        <v>2.7750000000000001E-3</v>
      </c>
      <c r="W161" s="5">
        <f t="shared" si="11"/>
        <v>1.0961250000000001E-2</v>
      </c>
      <c r="X161">
        <f t="shared" si="12"/>
        <v>362</v>
      </c>
      <c r="Y161" s="5">
        <f t="shared" si="13"/>
        <v>1429.9</v>
      </c>
      <c r="Z161" s="5">
        <f t="shared" si="14"/>
        <v>3.9679725000000001</v>
      </c>
    </row>
    <row r="162" spans="1:26" x14ac:dyDescent="0.3">
      <c r="A162" t="s">
        <v>1090</v>
      </c>
      <c r="B162" s="5">
        <f>VLOOKUP(A162,Dim!A:B,2)</f>
        <v>0</v>
      </c>
      <c r="C162">
        <v>4.67</v>
      </c>
      <c r="D162">
        <v>1.26</v>
      </c>
      <c r="E162">
        <v>0.14499999999999999</v>
      </c>
      <c r="F162" s="1">
        <v>4.5999999999999999E-2</v>
      </c>
      <c r="G162">
        <v>0.44</v>
      </c>
      <c r="H162">
        <v>2.09</v>
      </c>
      <c r="I162">
        <v>6.25</v>
      </c>
      <c r="J162">
        <v>-1.8</v>
      </c>
      <c r="K162">
        <v>11.26</v>
      </c>
      <c r="L162">
        <v>9.5</v>
      </c>
      <c r="M162" s="1">
        <v>2.3199999999999998E-2</v>
      </c>
      <c r="N162" s="1">
        <v>3.1E-2</v>
      </c>
      <c r="O162">
        <v>2.09</v>
      </c>
      <c r="P162" s="1">
        <v>8.0199999999999994E-2</v>
      </c>
      <c r="Q162" s="1">
        <v>0.26989999999999997</v>
      </c>
      <c r="R162" s="3">
        <v>227565000</v>
      </c>
      <c r="S162" s="3">
        <v>20849000000</v>
      </c>
      <c r="T162">
        <v>1.22</v>
      </c>
      <c r="U162" s="1">
        <v>0.13009999999999999</v>
      </c>
      <c r="V162" s="4">
        <f t="shared" si="10"/>
        <v>3.8333333333333331E-3</v>
      </c>
      <c r="W162" s="5">
        <f t="shared" si="11"/>
        <v>0</v>
      </c>
      <c r="X162" t="e">
        <f t="shared" si="12"/>
        <v>#DIV/0!</v>
      </c>
      <c r="Y162" s="5" t="e">
        <f t="shared" si="13"/>
        <v>#DIV/0!</v>
      </c>
      <c r="Z162" s="5" t="e">
        <f t="shared" si="14"/>
        <v>#DIV/0!</v>
      </c>
    </row>
    <row r="163" spans="1:26" x14ac:dyDescent="0.3">
      <c r="A163" t="s">
        <v>1260</v>
      </c>
      <c r="B163" s="5">
        <f>VLOOKUP(A163,Dim!A:B,2)</f>
        <v>29.49</v>
      </c>
      <c r="C163">
        <v>8.99</v>
      </c>
      <c r="D163">
        <v>1.79</v>
      </c>
      <c r="E163">
        <v>1.091</v>
      </c>
      <c r="F163" s="1">
        <v>0.13569999999999999</v>
      </c>
      <c r="G163">
        <v>0.88600000000000001</v>
      </c>
      <c r="H163">
        <v>2.11</v>
      </c>
      <c r="I163">
        <v>6.29</v>
      </c>
      <c r="J163">
        <v>7.19</v>
      </c>
      <c r="K163">
        <v>7.67</v>
      </c>
      <c r="L163">
        <v>6.37</v>
      </c>
      <c r="M163" s="1">
        <v>0.1736</v>
      </c>
      <c r="N163" s="1">
        <v>0.12139999999999999</v>
      </c>
      <c r="O163">
        <v>3.01</v>
      </c>
      <c r="P163" s="1">
        <v>0.1804</v>
      </c>
      <c r="Q163" s="1">
        <v>0.19900000000000001</v>
      </c>
      <c r="R163" s="3">
        <v>82442.399999999994</v>
      </c>
      <c r="S163" s="3">
        <v>657578000</v>
      </c>
      <c r="T163">
        <v>0.62</v>
      </c>
      <c r="U163" s="1">
        <v>4.9500000000000002E-2</v>
      </c>
      <c r="V163" s="4">
        <f t="shared" si="10"/>
        <v>1.1308333333333332E-2</v>
      </c>
      <c r="W163" s="5">
        <f t="shared" si="11"/>
        <v>0.33348274999999994</v>
      </c>
      <c r="X163">
        <f t="shared" si="12"/>
        <v>90</v>
      </c>
      <c r="Y163" s="5">
        <f t="shared" si="13"/>
        <v>2654.1</v>
      </c>
      <c r="Z163" s="5">
        <f t="shared" si="14"/>
        <v>30.013447499999995</v>
      </c>
    </row>
    <row r="164" spans="1:26" x14ac:dyDescent="0.3">
      <c r="A164" t="s">
        <v>1259</v>
      </c>
      <c r="B164" s="5">
        <f>VLOOKUP(A164,Dim!A:B,2)</f>
        <v>18.149999999999999</v>
      </c>
      <c r="C164">
        <v>8.98</v>
      </c>
      <c r="D164">
        <v>1.64</v>
      </c>
      <c r="E164">
        <v>4.024</v>
      </c>
      <c r="F164" s="1">
        <v>0.16339999999999999</v>
      </c>
      <c r="G164">
        <v>1.1930000000000001</v>
      </c>
      <c r="H164">
        <v>2.56</v>
      </c>
      <c r="I164">
        <v>13.08</v>
      </c>
      <c r="J164">
        <v>2.79</v>
      </c>
      <c r="K164">
        <v>8.8000000000000007</v>
      </c>
      <c r="L164">
        <v>8.2899999999999991</v>
      </c>
      <c r="M164" s="1">
        <v>0.30769999999999997</v>
      </c>
      <c r="N164" s="1">
        <v>0.56230000000000002</v>
      </c>
      <c r="O164">
        <v>7.5</v>
      </c>
      <c r="P164" s="1">
        <v>0.1545</v>
      </c>
      <c r="Q164" s="1">
        <v>0.1827</v>
      </c>
      <c r="R164" s="3">
        <v>579933</v>
      </c>
      <c r="S164" s="3">
        <v>1076040000</v>
      </c>
      <c r="T164">
        <v>0</v>
      </c>
      <c r="U164" s="1">
        <v>4.1799999999999997E-2</v>
      </c>
      <c r="V164" s="4">
        <f t="shared" si="10"/>
        <v>1.3616666666666666E-2</v>
      </c>
      <c r="W164" s="5">
        <f t="shared" si="11"/>
        <v>0.24714249999999996</v>
      </c>
      <c r="X164">
        <f t="shared" si="12"/>
        <v>75</v>
      </c>
      <c r="Y164" s="5">
        <f t="shared" si="13"/>
        <v>1361.25</v>
      </c>
      <c r="Z164" s="5">
        <f t="shared" si="14"/>
        <v>18.535687499999998</v>
      </c>
    </row>
    <row r="165" spans="1:26" x14ac:dyDescent="0.3">
      <c r="A165" t="s">
        <v>1091</v>
      </c>
      <c r="B165" s="5">
        <f>VLOOKUP(A165,Dim!A:B,2)</f>
        <v>0</v>
      </c>
      <c r="C165">
        <v>4.71</v>
      </c>
      <c r="D165">
        <v>0.9</v>
      </c>
      <c r="E165">
        <v>1.5229999999999999</v>
      </c>
      <c r="F165" s="1">
        <v>5.8000000000000003E-2</v>
      </c>
      <c r="G165">
        <v>0.42799999999999999</v>
      </c>
      <c r="H165">
        <v>20.57</v>
      </c>
      <c r="I165">
        <v>5.47</v>
      </c>
      <c r="J165">
        <v>-1.05</v>
      </c>
      <c r="K165">
        <v>8.19</v>
      </c>
      <c r="L165">
        <v>6.27</v>
      </c>
      <c r="M165" s="1">
        <v>0.27860000000000001</v>
      </c>
      <c r="N165" s="1">
        <v>0.32329999999999998</v>
      </c>
      <c r="O165">
        <v>1.21</v>
      </c>
      <c r="P165" s="1">
        <v>8.4099999999999994E-2</v>
      </c>
      <c r="Q165" s="1">
        <v>0.192</v>
      </c>
      <c r="R165" s="3">
        <v>1559740</v>
      </c>
      <c r="S165" s="3">
        <v>11784300000</v>
      </c>
      <c r="T165">
        <v>0.56999999999999995</v>
      </c>
      <c r="U165" s="1">
        <v>9.5100000000000004E-2</v>
      </c>
      <c r="V165" s="4">
        <f t="shared" si="10"/>
        <v>4.8333333333333336E-3</v>
      </c>
      <c r="W165" s="5">
        <f t="shared" si="11"/>
        <v>0</v>
      </c>
      <c r="X165" t="e">
        <f t="shared" si="12"/>
        <v>#DIV/0!</v>
      </c>
      <c r="Y165" s="5" t="e">
        <f t="shared" si="13"/>
        <v>#DIV/0!</v>
      </c>
      <c r="Z165" s="5" t="e">
        <f t="shared" si="14"/>
        <v>#DIV/0!</v>
      </c>
    </row>
    <row r="166" spans="1:26" x14ac:dyDescent="0.3">
      <c r="A166" t="s">
        <v>1180</v>
      </c>
      <c r="B166" s="5">
        <f>VLOOKUP(A166,Dim!A:B,2)</f>
        <v>0</v>
      </c>
      <c r="C166">
        <v>7.01</v>
      </c>
      <c r="D166">
        <v>0.91</v>
      </c>
      <c r="E166">
        <v>1.0860000000000001</v>
      </c>
      <c r="F166" s="1">
        <v>0.04</v>
      </c>
      <c r="G166">
        <v>0.42599999999999999</v>
      </c>
      <c r="H166">
        <v>0.76</v>
      </c>
      <c r="I166">
        <v>7.13</v>
      </c>
      <c r="J166">
        <v>1.24</v>
      </c>
      <c r="K166">
        <v>9.16</v>
      </c>
      <c r="L166">
        <v>8.09</v>
      </c>
      <c r="M166" s="1">
        <v>0.15210000000000001</v>
      </c>
      <c r="N166" s="1">
        <v>0.1593</v>
      </c>
      <c r="O166">
        <v>2.81</v>
      </c>
      <c r="P166" s="1">
        <v>7.3899999999999993E-2</v>
      </c>
      <c r="Q166" s="1">
        <v>0.13020000000000001</v>
      </c>
      <c r="R166" s="3">
        <v>3336520</v>
      </c>
      <c r="S166" s="3">
        <v>1535000000</v>
      </c>
      <c r="T166">
        <v>0.63</v>
      </c>
      <c r="U166" s="1">
        <v>0.1197</v>
      </c>
      <c r="V166" s="4">
        <f t="shared" si="10"/>
        <v>3.3333333333333335E-3</v>
      </c>
      <c r="W166" s="5">
        <f t="shared" si="11"/>
        <v>0</v>
      </c>
      <c r="X166" t="e">
        <f t="shared" si="12"/>
        <v>#DIV/0!</v>
      </c>
      <c r="Y166" s="5" t="e">
        <f t="shared" si="13"/>
        <v>#DIV/0!</v>
      </c>
      <c r="Z166" s="5" t="e">
        <f t="shared" si="14"/>
        <v>#DIV/0!</v>
      </c>
    </row>
    <row r="167" spans="1:26" x14ac:dyDescent="0.3">
      <c r="A167" t="s">
        <v>1257</v>
      </c>
      <c r="B167" s="5">
        <f>VLOOKUP(A167,Dim!A:B,2)</f>
        <v>5.74</v>
      </c>
      <c r="C167">
        <v>8.91</v>
      </c>
      <c r="D167">
        <v>0.44</v>
      </c>
      <c r="E167">
        <v>3.7109999999999999</v>
      </c>
      <c r="F167" s="1">
        <v>0.18729999999999999</v>
      </c>
      <c r="G167">
        <v>0.17100000000000001</v>
      </c>
      <c r="H167">
        <v>11.85</v>
      </c>
      <c r="I167">
        <v>-4.25</v>
      </c>
      <c r="J167">
        <v>-0.34</v>
      </c>
      <c r="K167">
        <v>-7.64</v>
      </c>
      <c r="L167">
        <v>-7.89</v>
      </c>
      <c r="M167" s="1">
        <v>-0.87309999999999999</v>
      </c>
      <c r="N167" s="1">
        <v>0.41649999999999998</v>
      </c>
      <c r="O167">
        <v>1.17</v>
      </c>
      <c r="P167" s="1">
        <v>-4.2099999999999999E-2</v>
      </c>
      <c r="Q167" s="1">
        <v>4.9000000000000002E-2</v>
      </c>
      <c r="R167" s="3">
        <v>3536.19</v>
      </c>
      <c r="S167" s="3">
        <v>659465000</v>
      </c>
      <c r="T167">
        <v>0.45</v>
      </c>
      <c r="U167" s="1">
        <v>-0.1542</v>
      </c>
      <c r="V167" s="4">
        <f t="shared" si="10"/>
        <v>1.5608333333333333E-2</v>
      </c>
      <c r="W167" s="5">
        <f t="shared" si="11"/>
        <v>8.9591833333333343E-2</v>
      </c>
      <c r="X167">
        <f t="shared" si="12"/>
        <v>66</v>
      </c>
      <c r="Y167" s="5">
        <f t="shared" si="13"/>
        <v>378.84000000000003</v>
      </c>
      <c r="Z167" s="5">
        <f t="shared" si="14"/>
        <v>5.9130610000000008</v>
      </c>
    </row>
    <row r="168" spans="1:26" x14ac:dyDescent="0.3">
      <c r="A168" t="s">
        <v>1255</v>
      </c>
      <c r="B168" s="5">
        <f>VLOOKUP(A168,Dim!A:B,2)</f>
        <v>106.55</v>
      </c>
      <c r="C168">
        <v>8.86</v>
      </c>
      <c r="D168">
        <v>2.23</v>
      </c>
      <c r="E168">
        <v>1.089</v>
      </c>
      <c r="F168" s="1">
        <v>6.7199999999999996E-2</v>
      </c>
      <c r="G168">
        <v>0.60499999999999998</v>
      </c>
      <c r="H168">
        <v>-21.14</v>
      </c>
      <c r="I168">
        <v>4.25</v>
      </c>
      <c r="J168">
        <v>-1.18</v>
      </c>
      <c r="K168">
        <v>6.44</v>
      </c>
      <c r="L168">
        <v>5.46</v>
      </c>
      <c r="M168" s="1">
        <v>0.25609999999999999</v>
      </c>
      <c r="N168" s="1">
        <v>0.12970000000000001</v>
      </c>
      <c r="O168">
        <v>0.88</v>
      </c>
      <c r="P168" s="1">
        <v>0.15820000000000001</v>
      </c>
      <c r="Q168" s="1">
        <v>0.25169999999999998</v>
      </c>
      <c r="R168" s="3">
        <v>50622900</v>
      </c>
      <c r="S168" s="3">
        <v>21481800000</v>
      </c>
      <c r="T168">
        <v>1.35</v>
      </c>
      <c r="U168" s="1">
        <v>5.0999999999999997E-2</v>
      </c>
      <c r="V168" s="4">
        <f t="shared" si="10"/>
        <v>5.5999999999999999E-3</v>
      </c>
      <c r="W168" s="5">
        <f t="shared" si="11"/>
        <v>0.59667999999999999</v>
      </c>
      <c r="X168">
        <f t="shared" si="12"/>
        <v>180</v>
      </c>
      <c r="Y168" s="5">
        <f t="shared" si="13"/>
        <v>19179</v>
      </c>
      <c r="Z168" s="5">
        <f t="shared" si="14"/>
        <v>107.4024</v>
      </c>
    </row>
    <row r="169" spans="1:26" x14ac:dyDescent="0.3">
      <c r="A169" t="s">
        <v>702</v>
      </c>
      <c r="B169" s="5">
        <f>VLOOKUP(A169,Dim!A:B,2)</f>
        <v>0</v>
      </c>
      <c r="C169">
        <v>-12.73</v>
      </c>
      <c r="D169">
        <v>0.42</v>
      </c>
      <c r="E169">
        <v>0</v>
      </c>
      <c r="F169" s="1">
        <v>1.9E-3</v>
      </c>
      <c r="G169">
        <v>0.41899999999999998</v>
      </c>
      <c r="H169">
        <v>3.33</v>
      </c>
      <c r="I169">
        <v>-229.68</v>
      </c>
      <c r="J169">
        <v>3.52</v>
      </c>
      <c r="K169">
        <v>-160.15</v>
      </c>
      <c r="L169">
        <v>-160.15</v>
      </c>
      <c r="M169" s="1">
        <v>0</v>
      </c>
      <c r="N169" s="1">
        <v>0</v>
      </c>
      <c r="O169">
        <v>28.89</v>
      </c>
      <c r="P169" s="1">
        <v>-2.0999999999999999E-3</v>
      </c>
      <c r="Q169" s="1">
        <v>-3.3300000000000003E-2</v>
      </c>
      <c r="R169">
        <v>57.23</v>
      </c>
      <c r="S169" s="3">
        <v>983532000</v>
      </c>
      <c r="T169">
        <v>0</v>
      </c>
      <c r="U169" s="1">
        <v>0</v>
      </c>
      <c r="V169" s="4">
        <f t="shared" si="10"/>
        <v>1.5833333333333332E-4</v>
      </c>
      <c r="W169" s="5">
        <f t="shared" si="11"/>
        <v>0</v>
      </c>
      <c r="X169" t="e">
        <f t="shared" si="12"/>
        <v>#DIV/0!</v>
      </c>
      <c r="Y169" s="5" t="e">
        <f t="shared" si="13"/>
        <v>#DIV/0!</v>
      </c>
      <c r="Z169" s="5" t="e">
        <f t="shared" si="14"/>
        <v>#DIV/0!</v>
      </c>
    </row>
    <row r="170" spans="1:26" x14ac:dyDescent="0.3">
      <c r="A170" t="s">
        <v>1253</v>
      </c>
      <c r="B170" s="5">
        <f>VLOOKUP(A170,Dim!A:B,2)</f>
        <v>5.74</v>
      </c>
      <c r="C170">
        <v>8.77</v>
      </c>
      <c r="D170">
        <v>0.8</v>
      </c>
      <c r="E170">
        <v>0.69299999999999995</v>
      </c>
      <c r="F170" s="1">
        <v>6.1699999999999998E-2</v>
      </c>
      <c r="G170">
        <v>0.64900000000000002</v>
      </c>
      <c r="H170">
        <v>1.08</v>
      </c>
      <c r="I170">
        <v>8.7899999999999991</v>
      </c>
      <c r="J170">
        <v>1.1200000000000001</v>
      </c>
      <c r="K170">
        <v>5.41</v>
      </c>
      <c r="L170">
        <v>4.05</v>
      </c>
      <c r="M170" s="1">
        <v>7.8799999999999995E-2</v>
      </c>
      <c r="N170" s="1">
        <v>7.9000000000000001E-2</v>
      </c>
      <c r="O170">
        <v>4.51</v>
      </c>
      <c r="P170" s="1">
        <v>0.1129</v>
      </c>
      <c r="Q170" s="1">
        <v>9.1300000000000006E-2</v>
      </c>
      <c r="R170" s="3">
        <v>198202</v>
      </c>
      <c r="S170" s="3">
        <v>469617000</v>
      </c>
      <c r="T170">
        <v>0.06</v>
      </c>
      <c r="U170" s="1">
        <v>-1.15E-2</v>
      </c>
      <c r="V170" s="4">
        <f t="shared" si="10"/>
        <v>5.1416666666666668E-3</v>
      </c>
      <c r="W170" s="5">
        <f t="shared" si="11"/>
        <v>2.9513166666666667E-2</v>
      </c>
      <c r="X170">
        <f t="shared" si="12"/>
        <v>196</v>
      </c>
      <c r="Y170" s="5">
        <f t="shared" si="13"/>
        <v>1125.04</v>
      </c>
      <c r="Z170" s="5">
        <f t="shared" si="14"/>
        <v>5.7845806666666668</v>
      </c>
    </row>
    <row r="171" spans="1:26" x14ac:dyDescent="0.3">
      <c r="A171" t="s">
        <v>1086</v>
      </c>
      <c r="B171" s="5">
        <f>VLOOKUP(A171,Dim!A:B,2)</f>
        <v>0</v>
      </c>
      <c r="C171">
        <v>4.54</v>
      </c>
      <c r="D171">
        <v>0.87</v>
      </c>
      <c r="E171">
        <v>1.4670000000000001</v>
      </c>
      <c r="F171" s="1">
        <v>6.5000000000000002E-2</v>
      </c>
      <c r="G171">
        <v>0.41199999999999998</v>
      </c>
      <c r="H171">
        <v>19.809999999999999</v>
      </c>
      <c r="I171">
        <v>5.26</v>
      </c>
      <c r="J171">
        <v>-1.01</v>
      </c>
      <c r="K171">
        <v>7.98</v>
      </c>
      <c r="L171">
        <v>6.12</v>
      </c>
      <c r="M171" s="1">
        <v>0.27860000000000001</v>
      </c>
      <c r="N171" s="1">
        <v>0.32329999999999998</v>
      </c>
      <c r="O171">
        <v>1.21</v>
      </c>
      <c r="P171" s="1">
        <v>8.4099999999999994E-2</v>
      </c>
      <c r="Q171" s="1">
        <v>0.192</v>
      </c>
      <c r="R171" s="3">
        <v>41723000</v>
      </c>
      <c r="S171" s="3">
        <v>11784300000</v>
      </c>
      <c r="T171">
        <v>0.56999999999999995</v>
      </c>
      <c r="U171" s="1">
        <v>9.5100000000000004E-2</v>
      </c>
      <c r="V171" s="4">
        <f t="shared" si="10"/>
        <v>5.4166666666666669E-3</v>
      </c>
      <c r="W171" s="5">
        <f t="shared" si="11"/>
        <v>0</v>
      </c>
      <c r="X171" t="e">
        <f t="shared" si="12"/>
        <v>#DIV/0!</v>
      </c>
      <c r="Y171" s="5" t="e">
        <f t="shared" si="13"/>
        <v>#DIV/0!</v>
      </c>
      <c r="Z171" s="5" t="e">
        <f t="shared" si="14"/>
        <v>#DIV/0!</v>
      </c>
    </row>
    <row r="172" spans="1:26" x14ac:dyDescent="0.3">
      <c r="A172" t="s">
        <v>1083</v>
      </c>
      <c r="B172" s="5">
        <f>VLOOKUP(A172,Dim!A:B,2)</f>
        <v>0</v>
      </c>
      <c r="C172">
        <v>4.5</v>
      </c>
      <c r="D172">
        <v>0.86</v>
      </c>
      <c r="E172">
        <v>1.456</v>
      </c>
      <c r="F172" s="1">
        <v>6.6699999999999995E-2</v>
      </c>
      <c r="G172">
        <v>0.40899999999999997</v>
      </c>
      <c r="H172">
        <v>19.66</v>
      </c>
      <c r="I172">
        <v>5.23</v>
      </c>
      <c r="J172">
        <v>-1</v>
      </c>
      <c r="K172">
        <v>7.95</v>
      </c>
      <c r="L172">
        <v>6.09</v>
      </c>
      <c r="M172" s="1">
        <v>0.27860000000000001</v>
      </c>
      <c r="N172" s="1">
        <v>0.32329999999999998</v>
      </c>
      <c r="O172">
        <v>1.21</v>
      </c>
      <c r="P172" s="1">
        <v>8.4099999999999994E-2</v>
      </c>
      <c r="Q172" s="1">
        <v>0.192</v>
      </c>
      <c r="R172" s="3">
        <v>8073330</v>
      </c>
      <c r="S172" s="3">
        <v>11784300000</v>
      </c>
      <c r="T172">
        <v>0.56999999999999995</v>
      </c>
      <c r="U172" s="1">
        <v>9.5100000000000004E-2</v>
      </c>
      <c r="V172" s="4">
        <f t="shared" si="10"/>
        <v>5.5583333333333327E-3</v>
      </c>
      <c r="W172" s="5">
        <f t="shared" si="11"/>
        <v>0</v>
      </c>
      <c r="X172" t="e">
        <f t="shared" si="12"/>
        <v>#DIV/0!</v>
      </c>
      <c r="Y172" s="5" t="e">
        <f t="shared" si="13"/>
        <v>#DIV/0!</v>
      </c>
      <c r="Z172" s="5" t="e">
        <f t="shared" si="14"/>
        <v>#DIV/0!</v>
      </c>
    </row>
    <row r="173" spans="1:26" x14ac:dyDescent="0.3">
      <c r="A173" t="s">
        <v>706</v>
      </c>
      <c r="B173" s="5">
        <f>VLOOKUP(A173,Dim!A:B,2)</f>
        <v>0</v>
      </c>
      <c r="C173">
        <v>-12.31</v>
      </c>
      <c r="D173">
        <v>0.41</v>
      </c>
      <c r="E173">
        <v>0</v>
      </c>
      <c r="F173" s="1">
        <v>2.2000000000000001E-3</v>
      </c>
      <c r="G173">
        <v>0.40500000000000003</v>
      </c>
      <c r="H173">
        <v>3.22</v>
      </c>
      <c r="I173">
        <v>-222.21</v>
      </c>
      <c r="J173">
        <v>3.41</v>
      </c>
      <c r="K173">
        <v>-152.68</v>
      </c>
      <c r="L173">
        <v>-152.68</v>
      </c>
      <c r="M173" s="1">
        <v>0</v>
      </c>
      <c r="N173" s="1">
        <v>0</v>
      </c>
      <c r="O173">
        <v>28.89</v>
      </c>
      <c r="P173" s="1">
        <v>-2.0999999999999999E-3</v>
      </c>
      <c r="Q173" s="1">
        <v>-3.3300000000000003E-2</v>
      </c>
      <c r="R173">
        <v>69.09</v>
      </c>
      <c r="S173" s="3">
        <v>983532000</v>
      </c>
      <c r="T173">
        <v>0</v>
      </c>
      <c r="U173" s="1">
        <v>0</v>
      </c>
      <c r="V173" s="4">
        <f t="shared" si="10"/>
        <v>1.8333333333333334E-4</v>
      </c>
      <c r="W173" s="5">
        <f t="shared" si="11"/>
        <v>0</v>
      </c>
      <c r="X173" t="e">
        <f t="shared" si="12"/>
        <v>#DIV/0!</v>
      </c>
      <c r="Y173" s="5" t="e">
        <f t="shared" si="13"/>
        <v>#DIV/0!</v>
      </c>
      <c r="Z173" s="5" t="e">
        <f t="shared" si="14"/>
        <v>#DIV/0!</v>
      </c>
    </row>
    <row r="174" spans="1:26" x14ac:dyDescent="0.3">
      <c r="A174" t="s">
        <v>1014</v>
      </c>
      <c r="B174" s="5">
        <f>VLOOKUP(A174,Dim!A:B,2)</f>
        <v>0</v>
      </c>
      <c r="C174">
        <v>0.44</v>
      </c>
      <c r="D174">
        <v>0.54</v>
      </c>
      <c r="E174">
        <v>0.26300000000000001</v>
      </c>
      <c r="F174" s="1">
        <v>1.0474000000000001</v>
      </c>
      <c r="G174">
        <v>0.39900000000000002</v>
      </c>
      <c r="H174">
        <v>0.59</v>
      </c>
      <c r="I174">
        <v>0.36</v>
      </c>
      <c r="J174">
        <v>0.59</v>
      </c>
      <c r="K174">
        <v>-0.35</v>
      </c>
      <c r="L174">
        <v>-0.35</v>
      </c>
      <c r="M174" s="1">
        <v>0.7228</v>
      </c>
      <c r="N174" s="1">
        <v>0.59289999999999998</v>
      </c>
      <c r="O174">
        <v>3.61</v>
      </c>
      <c r="P174" s="1">
        <v>5.2301000000000002</v>
      </c>
      <c r="Q174" s="1">
        <v>1.2235</v>
      </c>
      <c r="R174">
        <v>0</v>
      </c>
      <c r="S174" s="3">
        <v>59358000</v>
      </c>
      <c r="T174">
        <v>0</v>
      </c>
      <c r="U174" s="1">
        <v>5.7700000000000001E-2</v>
      </c>
      <c r="V174" s="4">
        <f t="shared" si="10"/>
        <v>8.7283333333333338E-2</v>
      </c>
      <c r="W174" s="5">
        <f t="shared" si="11"/>
        <v>0</v>
      </c>
      <c r="X174" t="e">
        <f t="shared" si="12"/>
        <v>#DIV/0!</v>
      </c>
      <c r="Y174" s="5" t="e">
        <f t="shared" si="13"/>
        <v>#DIV/0!</v>
      </c>
      <c r="Z174" s="5" t="e">
        <f t="shared" si="14"/>
        <v>#DIV/0!</v>
      </c>
    </row>
    <row r="175" spans="1:26" x14ac:dyDescent="0.3">
      <c r="A175" t="s">
        <v>675</v>
      </c>
      <c r="B175" s="5">
        <f>VLOOKUP(A175,Dim!A:B,2)</f>
        <v>0</v>
      </c>
      <c r="C175">
        <v>-23.4</v>
      </c>
      <c r="D175">
        <v>0.76</v>
      </c>
      <c r="E175">
        <v>2.8660000000000001</v>
      </c>
      <c r="F175" s="1">
        <v>8.72E-2</v>
      </c>
      <c r="G175">
        <v>0.39900000000000002</v>
      </c>
      <c r="H175">
        <v>2.0499999999999998</v>
      </c>
      <c r="I175">
        <v>11.42</v>
      </c>
      <c r="J175">
        <v>-1.99</v>
      </c>
      <c r="K175">
        <v>18.739999999999998</v>
      </c>
      <c r="L175">
        <v>11.96</v>
      </c>
      <c r="M175" s="1">
        <v>0.25090000000000001</v>
      </c>
      <c r="N175" s="1">
        <v>-0.1188</v>
      </c>
      <c r="O175">
        <v>3.68</v>
      </c>
      <c r="P175" s="1">
        <v>3.9399999999999998E-2</v>
      </c>
      <c r="Q175" s="1">
        <v>-3.2300000000000002E-2</v>
      </c>
      <c r="R175" s="3">
        <v>744111</v>
      </c>
      <c r="S175" s="3">
        <v>1528950000</v>
      </c>
      <c r="T175">
        <v>0.7</v>
      </c>
      <c r="U175" s="1">
        <v>0.183</v>
      </c>
      <c r="V175" s="4">
        <f t="shared" si="10"/>
        <v>7.2666666666666669E-3</v>
      </c>
      <c r="W175" s="5">
        <f t="shared" si="11"/>
        <v>0</v>
      </c>
      <c r="X175" t="e">
        <f t="shared" si="12"/>
        <v>#DIV/0!</v>
      </c>
      <c r="Y175" s="5" t="e">
        <f t="shared" si="13"/>
        <v>#DIV/0!</v>
      </c>
      <c r="Z175" s="5" t="e">
        <f t="shared" si="14"/>
        <v>#DIV/0!</v>
      </c>
    </row>
    <row r="176" spans="1:26" x14ac:dyDescent="0.3">
      <c r="A176" t="s">
        <v>1250</v>
      </c>
      <c r="B176" s="5">
        <f>VLOOKUP(A176,Dim!A:B,2)</f>
        <v>58</v>
      </c>
      <c r="C176">
        <v>8.67</v>
      </c>
      <c r="D176">
        <v>1.18</v>
      </c>
      <c r="E176">
        <v>0</v>
      </c>
      <c r="F176" s="1">
        <v>7.1499999999999994E-2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 s="1">
        <v>0</v>
      </c>
      <c r="N176" s="1">
        <v>0</v>
      </c>
      <c r="O176">
        <v>0</v>
      </c>
      <c r="P176" s="1">
        <v>0</v>
      </c>
      <c r="Q176" s="1">
        <v>0.13569999999999999</v>
      </c>
      <c r="R176" s="3">
        <v>488615000</v>
      </c>
      <c r="S176" s="3">
        <v>169590000000</v>
      </c>
      <c r="T176">
        <v>0</v>
      </c>
      <c r="U176" s="1">
        <v>-6.0600000000000001E-2</v>
      </c>
      <c r="V176" s="4">
        <f t="shared" si="10"/>
        <v>5.9583333333333328E-3</v>
      </c>
      <c r="W176" s="5">
        <f t="shared" si="11"/>
        <v>0.3455833333333333</v>
      </c>
      <c r="X176">
        <f t="shared" si="12"/>
        <v>169</v>
      </c>
      <c r="Y176" s="5">
        <f t="shared" si="13"/>
        <v>9802</v>
      </c>
      <c r="Z176" s="5">
        <f t="shared" si="14"/>
        <v>58.40358333333333</v>
      </c>
    </row>
    <row r="177" spans="1:26" x14ac:dyDescent="0.3">
      <c r="A177" t="s">
        <v>1358</v>
      </c>
      <c r="B177" s="5">
        <f>VLOOKUP(A177,Dim!A:B,2)</f>
        <v>0</v>
      </c>
      <c r="C177">
        <v>11.92</v>
      </c>
      <c r="D177">
        <v>1.35</v>
      </c>
      <c r="E177">
        <v>0.79800000000000004</v>
      </c>
      <c r="F177" s="1">
        <v>3.4500000000000003E-2</v>
      </c>
      <c r="G177">
        <v>0.39800000000000002</v>
      </c>
      <c r="H177">
        <v>2.15</v>
      </c>
      <c r="I177">
        <v>4.13</v>
      </c>
      <c r="J177">
        <v>-1.51</v>
      </c>
      <c r="K177">
        <v>7.56</v>
      </c>
      <c r="L177">
        <v>6.24</v>
      </c>
      <c r="M177" s="1">
        <v>0.19339999999999999</v>
      </c>
      <c r="N177" s="1">
        <v>6.6199999999999995E-2</v>
      </c>
      <c r="O177">
        <v>1.73</v>
      </c>
      <c r="P177" s="1">
        <v>0.1077</v>
      </c>
      <c r="Q177" s="1">
        <v>0.11360000000000001</v>
      </c>
      <c r="R177" s="3">
        <v>27632400</v>
      </c>
      <c r="S177" s="3">
        <v>5179100000</v>
      </c>
      <c r="T177">
        <v>1.35</v>
      </c>
      <c r="U177" s="1">
        <v>9.7799999999999998E-2</v>
      </c>
      <c r="V177" s="4">
        <f t="shared" si="10"/>
        <v>2.8750000000000004E-3</v>
      </c>
      <c r="W177" s="5">
        <f t="shared" si="11"/>
        <v>0</v>
      </c>
      <c r="X177" t="e">
        <f t="shared" si="12"/>
        <v>#DIV/0!</v>
      </c>
      <c r="Y177" s="5" t="e">
        <f t="shared" si="13"/>
        <v>#DIV/0!</v>
      </c>
      <c r="Z177" s="5" t="e">
        <f t="shared" si="14"/>
        <v>#DIV/0!</v>
      </c>
    </row>
    <row r="178" spans="1:26" x14ac:dyDescent="0.3">
      <c r="A178" t="s">
        <v>1249</v>
      </c>
      <c r="B178" s="5">
        <f>VLOOKUP(A178,Dim!A:B,2)</f>
        <v>5.74</v>
      </c>
      <c r="C178">
        <v>8.66</v>
      </c>
      <c r="D178">
        <v>8.65</v>
      </c>
      <c r="E178">
        <v>0.154</v>
      </c>
      <c r="F178" s="1">
        <v>0.2031</v>
      </c>
      <c r="G178">
        <v>0.17799999999999999</v>
      </c>
      <c r="H178">
        <v>2.5299999999999998</v>
      </c>
      <c r="I178">
        <v>3.94</v>
      </c>
      <c r="J178">
        <v>-0.38</v>
      </c>
      <c r="K178">
        <v>10.85</v>
      </c>
      <c r="L178">
        <v>4.96</v>
      </c>
      <c r="M178" s="1">
        <v>3.9100000000000003E-2</v>
      </c>
      <c r="N178" s="1">
        <v>2.41E-2</v>
      </c>
      <c r="O178">
        <v>1.22</v>
      </c>
      <c r="P178" s="1">
        <v>6.6900000000000001E-2</v>
      </c>
      <c r="Q178" s="1">
        <v>0.99860000000000004</v>
      </c>
      <c r="R178" s="3">
        <v>267009000</v>
      </c>
      <c r="S178" s="3">
        <v>2834440000</v>
      </c>
      <c r="T178">
        <v>23.3</v>
      </c>
      <c r="U178" s="1">
        <v>0.20019999999999999</v>
      </c>
      <c r="V178" s="4">
        <f t="shared" si="10"/>
        <v>1.6924999999999999E-2</v>
      </c>
      <c r="W178" s="5">
        <f t="shared" si="11"/>
        <v>9.71495E-2</v>
      </c>
      <c r="X178">
        <f t="shared" si="12"/>
        <v>61</v>
      </c>
      <c r="Y178" s="5">
        <f t="shared" si="13"/>
        <v>350.14</v>
      </c>
      <c r="Z178" s="5">
        <f t="shared" si="14"/>
        <v>5.9261195000000004</v>
      </c>
    </row>
    <row r="179" spans="1:26" x14ac:dyDescent="0.3">
      <c r="A179" t="s">
        <v>1247</v>
      </c>
      <c r="B179" s="5">
        <f>VLOOKUP(A179,Dim!A:B,2)</f>
        <v>58</v>
      </c>
      <c r="C179">
        <v>8.65</v>
      </c>
      <c r="D179">
        <v>0.64</v>
      </c>
      <c r="E179">
        <v>0.17899999999999999</v>
      </c>
      <c r="F179" s="1">
        <v>0.19850000000000001</v>
      </c>
      <c r="G179">
        <v>0.28899999999999998</v>
      </c>
      <c r="H179">
        <v>0.93</v>
      </c>
      <c r="I179">
        <v>8.06</v>
      </c>
      <c r="J179">
        <v>1.71</v>
      </c>
      <c r="K179">
        <v>9.84</v>
      </c>
      <c r="L179">
        <v>6.88</v>
      </c>
      <c r="M179" s="1">
        <v>2.2200000000000001E-2</v>
      </c>
      <c r="N179" s="1">
        <v>2.07E-2</v>
      </c>
      <c r="O179">
        <v>1.76</v>
      </c>
      <c r="P179" s="1">
        <v>5.96E-2</v>
      </c>
      <c r="Q179" s="1">
        <v>7.4399999999999994E-2</v>
      </c>
      <c r="R179" s="3">
        <v>2297980</v>
      </c>
      <c r="S179" s="3">
        <v>1499160000</v>
      </c>
      <c r="T179">
        <v>0.3</v>
      </c>
      <c r="U179" s="1">
        <v>-1.2500000000000001E-2</v>
      </c>
      <c r="V179" s="4">
        <f t="shared" si="10"/>
        <v>1.6541666666666666E-2</v>
      </c>
      <c r="W179" s="5">
        <f t="shared" si="11"/>
        <v>0.9594166666666667</v>
      </c>
      <c r="X179">
        <f t="shared" si="12"/>
        <v>62</v>
      </c>
      <c r="Y179" s="5">
        <f t="shared" si="13"/>
        <v>3596</v>
      </c>
      <c r="Z179" s="5">
        <f t="shared" si="14"/>
        <v>59.483833333333337</v>
      </c>
    </row>
    <row r="180" spans="1:26" x14ac:dyDescent="0.3">
      <c r="A180" t="s">
        <v>1246</v>
      </c>
      <c r="B180" s="5">
        <f>VLOOKUP(A180,Dim!A:B,2)</f>
        <v>5.74</v>
      </c>
      <c r="C180">
        <v>8.64</v>
      </c>
      <c r="D180">
        <v>3.36</v>
      </c>
      <c r="E180">
        <v>1.3520000000000001</v>
      </c>
      <c r="F180" s="1">
        <v>9.2799999999999994E-2</v>
      </c>
      <c r="G180">
        <v>0.874</v>
      </c>
      <c r="H180">
        <v>-154.06</v>
      </c>
      <c r="I180">
        <v>5.52</v>
      </c>
      <c r="J180">
        <v>-2.0699999999999998</v>
      </c>
      <c r="K180">
        <v>7.16</v>
      </c>
      <c r="L180">
        <v>6.04</v>
      </c>
      <c r="M180" s="1">
        <v>0.24510000000000001</v>
      </c>
      <c r="N180" s="1">
        <v>0.15659999999999999</v>
      </c>
      <c r="O180">
        <v>0.98</v>
      </c>
      <c r="P180" s="1">
        <v>0.19550000000000001</v>
      </c>
      <c r="Q180" s="1">
        <v>0.38850000000000001</v>
      </c>
      <c r="R180">
        <v>0</v>
      </c>
      <c r="S180" s="3">
        <v>4674070000</v>
      </c>
      <c r="T180">
        <v>1.46</v>
      </c>
      <c r="U180" s="1">
        <v>0.14000000000000001</v>
      </c>
      <c r="V180" s="4">
        <f t="shared" si="10"/>
        <v>7.7333333333333325E-3</v>
      </c>
      <c r="W180" s="5">
        <f t="shared" si="11"/>
        <v>4.4389333333333329E-2</v>
      </c>
      <c r="X180">
        <f t="shared" si="12"/>
        <v>131</v>
      </c>
      <c r="Y180" s="5">
        <f t="shared" si="13"/>
        <v>751.94</v>
      </c>
      <c r="Z180" s="5">
        <f t="shared" si="14"/>
        <v>5.8150026666666665</v>
      </c>
    </row>
    <row r="181" spans="1:26" x14ac:dyDescent="0.3">
      <c r="A181" t="s">
        <v>1243</v>
      </c>
      <c r="B181" s="5">
        <f>VLOOKUP(A181,Dim!A:B,2)</f>
        <v>106.55</v>
      </c>
      <c r="C181">
        <v>8.5500000000000007</v>
      </c>
      <c r="D181">
        <v>0.48</v>
      </c>
      <c r="E181">
        <v>0.28499999999999998</v>
      </c>
      <c r="F181" s="1">
        <v>4.1799999999999997E-2</v>
      </c>
      <c r="G181">
        <v>0.16</v>
      </c>
      <c r="H181">
        <v>-0.87</v>
      </c>
      <c r="I181">
        <v>2.02</v>
      </c>
      <c r="J181">
        <v>-0.35</v>
      </c>
      <c r="K181">
        <v>6.61</v>
      </c>
      <c r="L181">
        <v>4.13</v>
      </c>
      <c r="M181" s="1">
        <v>0.14080000000000001</v>
      </c>
      <c r="N181" s="1">
        <v>3.3300000000000003E-2</v>
      </c>
      <c r="O181">
        <v>0.53</v>
      </c>
      <c r="P181" s="1">
        <v>8.8200000000000001E-2</v>
      </c>
      <c r="Q181" s="1">
        <v>5.6399999999999999E-2</v>
      </c>
      <c r="R181" s="3">
        <v>224132</v>
      </c>
      <c r="S181" s="3">
        <v>5211990000</v>
      </c>
      <c r="T181">
        <v>1.1200000000000001</v>
      </c>
      <c r="U181" s="1">
        <v>3.1600000000000003E-2</v>
      </c>
      <c r="V181" s="4">
        <f t="shared" si="10"/>
        <v>3.4833333333333331E-3</v>
      </c>
      <c r="W181" s="5">
        <f t="shared" si="11"/>
        <v>0.37114916666666664</v>
      </c>
      <c r="X181">
        <f t="shared" si="12"/>
        <v>289</v>
      </c>
      <c r="Y181" s="5">
        <f t="shared" si="13"/>
        <v>30792.95</v>
      </c>
      <c r="Z181" s="5">
        <f t="shared" si="14"/>
        <v>107.26210916666666</v>
      </c>
    </row>
    <row r="182" spans="1:26" x14ac:dyDescent="0.3">
      <c r="A182" t="s">
        <v>1242</v>
      </c>
      <c r="B182" s="5">
        <f>VLOOKUP(A182,Dim!A:B,2)</f>
        <v>29.95</v>
      </c>
      <c r="C182">
        <v>8.5299999999999994</v>
      </c>
      <c r="D182">
        <v>3.93</v>
      </c>
      <c r="E182">
        <v>0.81299999999999994</v>
      </c>
      <c r="F182" s="1">
        <v>0.10059999999999999</v>
      </c>
      <c r="G182">
        <v>0.61099999999999999</v>
      </c>
      <c r="H182">
        <v>31.9</v>
      </c>
      <c r="I182">
        <v>3.48</v>
      </c>
      <c r="J182">
        <v>-1.0900000000000001</v>
      </c>
      <c r="K182">
        <v>6.61</v>
      </c>
      <c r="L182">
        <v>5.56</v>
      </c>
      <c r="M182" s="1">
        <v>0.2334</v>
      </c>
      <c r="N182" s="1">
        <v>9.5299999999999996E-2</v>
      </c>
      <c r="O182">
        <v>1.07</v>
      </c>
      <c r="P182" s="1">
        <v>0.20050000000000001</v>
      </c>
      <c r="Q182" s="1">
        <v>0.46110000000000001</v>
      </c>
      <c r="R182" s="3">
        <v>30232</v>
      </c>
      <c r="S182" s="3">
        <v>2019000000</v>
      </c>
      <c r="T182">
        <v>3.92</v>
      </c>
      <c r="U182" s="1">
        <v>4.36E-2</v>
      </c>
      <c r="V182" s="4">
        <f t="shared" si="10"/>
        <v>8.3833333333333329E-3</v>
      </c>
      <c r="W182" s="5">
        <f t="shared" si="11"/>
        <v>0.25108083333333331</v>
      </c>
      <c r="X182">
        <f t="shared" si="12"/>
        <v>121</v>
      </c>
      <c r="Y182" s="5">
        <f t="shared" si="13"/>
        <v>3623.95</v>
      </c>
      <c r="Z182" s="5">
        <f t="shared" si="14"/>
        <v>30.380780833333329</v>
      </c>
    </row>
    <row r="183" spans="1:26" x14ac:dyDescent="0.3">
      <c r="A183" t="s">
        <v>1214</v>
      </c>
      <c r="B183" s="5">
        <f>VLOOKUP(A183,Dim!A:B,2)</f>
        <v>0</v>
      </c>
      <c r="C183">
        <v>7.94</v>
      </c>
      <c r="D183">
        <v>1.44</v>
      </c>
      <c r="E183">
        <v>1.21</v>
      </c>
      <c r="F183" s="1">
        <v>4.1099999999999998E-2</v>
      </c>
      <c r="G183">
        <v>0.38900000000000001</v>
      </c>
      <c r="H183">
        <v>2.27</v>
      </c>
      <c r="I183">
        <v>4.67</v>
      </c>
      <c r="J183">
        <v>-0.81</v>
      </c>
      <c r="K183">
        <v>10.029999999999999</v>
      </c>
      <c r="L183">
        <v>5.61</v>
      </c>
      <c r="M183" s="1">
        <v>0.25919999999999999</v>
      </c>
      <c r="N183" s="1">
        <v>0.1532</v>
      </c>
      <c r="O183">
        <v>3.16</v>
      </c>
      <c r="P183" s="1">
        <v>9.9900000000000003E-2</v>
      </c>
      <c r="Q183" s="1">
        <v>0.18129999999999999</v>
      </c>
      <c r="R183" s="3">
        <v>231438000</v>
      </c>
      <c r="S183" s="3">
        <v>43137800000</v>
      </c>
      <c r="T183">
        <v>2.12</v>
      </c>
      <c r="U183" s="1">
        <v>7.5999999999999998E-2</v>
      </c>
      <c r="V183" s="4">
        <f t="shared" si="10"/>
        <v>3.4249999999999997E-3</v>
      </c>
      <c r="W183" s="5">
        <f t="shared" si="11"/>
        <v>0</v>
      </c>
      <c r="X183" t="e">
        <f t="shared" si="12"/>
        <v>#DIV/0!</v>
      </c>
      <c r="Y183" s="5" t="e">
        <f t="shared" si="13"/>
        <v>#DIV/0!</v>
      </c>
      <c r="Z183" s="5" t="e">
        <f t="shared" si="14"/>
        <v>#DIV/0!</v>
      </c>
    </row>
    <row r="184" spans="1:26" x14ac:dyDescent="0.3">
      <c r="A184" t="s">
        <v>1397</v>
      </c>
      <c r="B184" s="5">
        <f>VLOOKUP(A184,Dim!A:B,2)</f>
        <v>0</v>
      </c>
      <c r="C184">
        <v>14.15</v>
      </c>
      <c r="D184">
        <v>0.99</v>
      </c>
      <c r="E184">
        <v>0.61499999999999999</v>
      </c>
      <c r="F184" s="1">
        <v>1.52E-2</v>
      </c>
      <c r="G184">
        <v>0.38700000000000001</v>
      </c>
      <c r="H184">
        <v>5.29</v>
      </c>
      <c r="I184">
        <v>3.22</v>
      </c>
      <c r="J184">
        <v>-1.18</v>
      </c>
      <c r="K184">
        <v>4.6399999999999997</v>
      </c>
      <c r="L184">
        <v>3.01</v>
      </c>
      <c r="M184" s="1">
        <v>0.191</v>
      </c>
      <c r="N184" s="1">
        <v>4.3400000000000001E-2</v>
      </c>
      <c r="O184">
        <v>1.35</v>
      </c>
      <c r="P184" s="1">
        <v>0.13170000000000001</v>
      </c>
      <c r="Q184" s="1">
        <v>7.0300000000000001E-2</v>
      </c>
      <c r="R184" s="3">
        <v>6788580</v>
      </c>
      <c r="S184" s="3">
        <v>1314460000</v>
      </c>
      <c r="T184">
        <v>0.63</v>
      </c>
      <c r="U184" s="1">
        <v>0.12609999999999999</v>
      </c>
      <c r="V184" s="4">
        <f t="shared" si="10"/>
        <v>1.2666666666666666E-3</v>
      </c>
      <c r="W184" s="5">
        <f t="shared" si="11"/>
        <v>0</v>
      </c>
      <c r="X184" t="e">
        <f t="shared" si="12"/>
        <v>#DIV/0!</v>
      </c>
      <c r="Y184" s="5" t="e">
        <f t="shared" si="13"/>
        <v>#DIV/0!</v>
      </c>
      <c r="Z184" s="5" t="e">
        <f t="shared" si="14"/>
        <v>#DIV/0!</v>
      </c>
    </row>
    <row r="185" spans="1:26" x14ac:dyDescent="0.3">
      <c r="A185" t="s">
        <v>1394</v>
      </c>
      <c r="B185" s="5">
        <f>VLOOKUP(A185,Dim!A:B,2)</f>
        <v>0</v>
      </c>
      <c r="C185">
        <v>13.54</v>
      </c>
      <c r="D185">
        <v>1.01</v>
      </c>
      <c r="E185">
        <v>0.70599999999999996</v>
      </c>
      <c r="F185" s="1">
        <v>1.47E-2</v>
      </c>
      <c r="G185">
        <v>0.38200000000000001</v>
      </c>
      <c r="H185">
        <v>0.79</v>
      </c>
      <c r="I185">
        <v>8.8000000000000007</v>
      </c>
      <c r="J185">
        <v>1.52</v>
      </c>
      <c r="K185">
        <v>10.64</v>
      </c>
      <c r="L185">
        <v>7.8</v>
      </c>
      <c r="M185" s="1">
        <v>8.0299999999999996E-2</v>
      </c>
      <c r="N185" s="1">
        <v>8.8999999999999996E-2</v>
      </c>
      <c r="O185">
        <v>3.21</v>
      </c>
      <c r="P185" s="1">
        <v>5.7599999999999998E-2</v>
      </c>
      <c r="Q185" s="1">
        <v>7.4800000000000005E-2</v>
      </c>
      <c r="R185" s="3">
        <v>3784660</v>
      </c>
      <c r="S185" s="3">
        <v>1353140000</v>
      </c>
      <c r="T185">
        <v>0.63</v>
      </c>
      <c r="U185" s="1">
        <v>0.3352</v>
      </c>
      <c r="V185" s="4">
        <f t="shared" si="10"/>
        <v>1.225E-3</v>
      </c>
      <c r="W185" s="5">
        <f t="shared" si="11"/>
        <v>0</v>
      </c>
      <c r="X185" t="e">
        <f t="shared" si="12"/>
        <v>#DIV/0!</v>
      </c>
      <c r="Y185" s="5" t="e">
        <f t="shared" si="13"/>
        <v>#DIV/0!</v>
      </c>
      <c r="Z185" s="5" t="e">
        <f t="shared" si="14"/>
        <v>#DIV/0!</v>
      </c>
    </row>
    <row r="186" spans="1:26" x14ac:dyDescent="0.3">
      <c r="A186" t="s">
        <v>1241</v>
      </c>
      <c r="B186" s="5">
        <f>VLOOKUP(A186,Dim!A:B,2)</f>
        <v>29.95</v>
      </c>
      <c r="C186">
        <v>8.5299999999999994</v>
      </c>
      <c r="D186">
        <v>3.93</v>
      </c>
      <c r="E186">
        <v>0.81299999999999994</v>
      </c>
      <c r="F186" s="1">
        <v>9.1499999999999998E-2</v>
      </c>
      <c r="G186">
        <v>0.61099999999999999</v>
      </c>
      <c r="H186">
        <v>31.9</v>
      </c>
      <c r="I186">
        <v>3.48</v>
      </c>
      <c r="J186">
        <v>-1.0900000000000001</v>
      </c>
      <c r="K186">
        <v>6.61</v>
      </c>
      <c r="L186">
        <v>5.56</v>
      </c>
      <c r="M186" s="1">
        <v>0.2334</v>
      </c>
      <c r="N186" s="1">
        <v>9.5299999999999996E-2</v>
      </c>
      <c r="O186">
        <v>1.07</v>
      </c>
      <c r="P186" s="1">
        <v>0.20050000000000001</v>
      </c>
      <c r="Q186" s="1">
        <v>0.46110000000000001</v>
      </c>
      <c r="R186" s="3">
        <v>2203.4899999999998</v>
      </c>
      <c r="S186" s="3">
        <v>2019000000</v>
      </c>
      <c r="T186">
        <v>3.92</v>
      </c>
      <c r="U186" s="1">
        <v>4.36E-2</v>
      </c>
      <c r="V186" s="4">
        <f t="shared" si="10"/>
        <v>7.6249999999999998E-3</v>
      </c>
      <c r="W186" s="5">
        <f t="shared" si="11"/>
        <v>0.22836874999999998</v>
      </c>
      <c r="X186">
        <f t="shared" si="12"/>
        <v>133</v>
      </c>
      <c r="Y186" s="5">
        <f t="shared" si="13"/>
        <v>3983.35</v>
      </c>
      <c r="Z186" s="5">
        <f t="shared" si="14"/>
        <v>30.373043749999997</v>
      </c>
    </row>
    <row r="187" spans="1:26" x14ac:dyDescent="0.3">
      <c r="A187" t="s">
        <v>1235</v>
      </c>
      <c r="B187" s="5">
        <f>VLOOKUP(A187,Dim!A:B,2)</f>
        <v>29.49</v>
      </c>
      <c r="C187">
        <v>8.3800000000000008</v>
      </c>
      <c r="D187">
        <v>0.7</v>
      </c>
      <c r="E187">
        <v>8.5999999999999993E-2</v>
      </c>
      <c r="F187" s="1">
        <v>7.3400000000000007E-2</v>
      </c>
      <c r="G187">
        <v>0.17199999999999999</v>
      </c>
      <c r="H187">
        <v>1.08</v>
      </c>
      <c r="I187">
        <v>2.75</v>
      </c>
      <c r="J187">
        <v>-144.13999999999999</v>
      </c>
      <c r="K187">
        <v>4.24</v>
      </c>
      <c r="L187">
        <v>2.74</v>
      </c>
      <c r="M187" s="1">
        <v>3.1300000000000001E-2</v>
      </c>
      <c r="N187" s="1">
        <v>1.0699999999999999E-2</v>
      </c>
      <c r="O187">
        <v>1.29</v>
      </c>
      <c r="P187" s="1">
        <v>0.1105</v>
      </c>
      <c r="Q187" s="1">
        <v>8.3500000000000005E-2</v>
      </c>
      <c r="R187" s="3">
        <v>1691850</v>
      </c>
      <c r="S187" s="3">
        <v>1385550000</v>
      </c>
      <c r="T187">
        <v>0.56999999999999995</v>
      </c>
      <c r="U187" s="1">
        <v>0.1532</v>
      </c>
      <c r="V187" s="4">
        <f t="shared" si="10"/>
        <v>6.116666666666667E-3</v>
      </c>
      <c r="W187" s="5">
        <f t="shared" si="11"/>
        <v>0.1803805</v>
      </c>
      <c r="X187">
        <f t="shared" si="12"/>
        <v>165</v>
      </c>
      <c r="Y187" s="5">
        <f t="shared" si="13"/>
        <v>4865.8499999999995</v>
      </c>
      <c r="Z187" s="5">
        <f t="shared" si="14"/>
        <v>29.7627825</v>
      </c>
    </row>
    <row r="188" spans="1:26" x14ac:dyDescent="0.3">
      <c r="A188" t="s">
        <v>1234</v>
      </c>
      <c r="B188" s="5">
        <f>VLOOKUP(A188,Dim!A:B,2)</f>
        <v>5.74</v>
      </c>
      <c r="C188">
        <v>8.33</v>
      </c>
      <c r="D188">
        <v>3.24</v>
      </c>
      <c r="E188">
        <v>1.3049999999999999</v>
      </c>
      <c r="F188" s="1">
        <v>9.6199999999999994E-2</v>
      </c>
      <c r="G188">
        <v>0.84399999999999997</v>
      </c>
      <c r="H188">
        <v>-148.63999999999999</v>
      </c>
      <c r="I188">
        <v>5.32</v>
      </c>
      <c r="J188">
        <v>-2</v>
      </c>
      <c r="K188">
        <v>6.96</v>
      </c>
      <c r="L188">
        <v>5.88</v>
      </c>
      <c r="M188" s="1">
        <v>0.24510000000000001</v>
      </c>
      <c r="N188" s="1">
        <v>0.15659999999999999</v>
      </c>
      <c r="O188">
        <v>0.98</v>
      </c>
      <c r="P188" s="1">
        <v>0.19550000000000001</v>
      </c>
      <c r="Q188" s="1">
        <v>0.38850000000000001</v>
      </c>
      <c r="R188">
        <v>95.58</v>
      </c>
      <c r="S188" s="3">
        <v>4674070000</v>
      </c>
      <c r="T188">
        <v>1.46</v>
      </c>
      <c r="U188" s="1">
        <v>0.14000000000000001</v>
      </c>
      <c r="V188" s="4">
        <f t="shared" si="10"/>
        <v>8.0166666666666667E-3</v>
      </c>
      <c r="W188" s="5">
        <f t="shared" si="11"/>
        <v>4.601566666666667E-2</v>
      </c>
      <c r="X188">
        <f t="shared" si="12"/>
        <v>126</v>
      </c>
      <c r="Y188" s="5">
        <f t="shared" si="13"/>
        <v>723.24</v>
      </c>
      <c r="Z188" s="5">
        <f t="shared" si="14"/>
        <v>5.7979740000000008</v>
      </c>
    </row>
    <row r="189" spans="1:26" x14ac:dyDescent="0.3">
      <c r="A189" t="s">
        <v>1232</v>
      </c>
      <c r="B189" s="5">
        <f>VLOOKUP(A189,Dim!A:B,2)</f>
        <v>29.49</v>
      </c>
      <c r="C189">
        <v>8.2799999999999994</v>
      </c>
      <c r="D189">
        <v>2.39</v>
      </c>
      <c r="E189">
        <v>1.1140000000000001</v>
      </c>
      <c r="F189" s="1">
        <v>7.0499999999999993E-2</v>
      </c>
      <c r="G189">
        <v>1.052</v>
      </c>
      <c r="H189">
        <v>3.76</v>
      </c>
      <c r="I189">
        <v>7.28</v>
      </c>
      <c r="J189">
        <v>22.22</v>
      </c>
      <c r="K189">
        <v>8.26</v>
      </c>
      <c r="L189">
        <v>7.39</v>
      </c>
      <c r="M189" s="1">
        <v>0.15310000000000001</v>
      </c>
      <c r="N189" s="1">
        <v>0.13600000000000001</v>
      </c>
      <c r="O189">
        <v>1.87</v>
      </c>
      <c r="P189" s="1">
        <v>0.20019999999999999</v>
      </c>
      <c r="Q189" s="1">
        <v>0.28889999999999999</v>
      </c>
      <c r="R189" s="3">
        <v>82515600</v>
      </c>
      <c r="S189" s="3">
        <v>4175410000</v>
      </c>
      <c r="T189">
        <v>0.79</v>
      </c>
      <c r="U189" s="1">
        <v>0.28079999999999999</v>
      </c>
      <c r="V189" s="4">
        <f t="shared" si="10"/>
        <v>5.8749999999999991E-3</v>
      </c>
      <c r="W189" s="5">
        <f t="shared" si="11"/>
        <v>0.17325374999999996</v>
      </c>
      <c r="X189">
        <f t="shared" si="12"/>
        <v>172</v>
      </c>
      <c r="Y189" s="5">
        <f t="shared" si="13"/>
        <v>5072.28</v>
      </c>
      <c r="Z189" s="5">
        <f t="shared" si="14"/>
        <v>29.799644999999991</v>
      </c>
    </row>
    <row r="190" spans="1:26" x14ac:dyDescent="0.3">
      <c r="A190" t="s">
        <v>1359</v>
      </c>
      <c r="B190" s="5">
        <f>VLOOKUP(A190,Dim!A:B,2)</f>
        <v>0</v>
      </c>
      <c r="C190">
        <v>11.93</v>
      </c>
      <c r="D190">
        <v>1.17</v>
      </c>
      <c r="E190">
        <v>0.65500000000000003</v>
      </c>
      <c r="F190" s="1">
        <v>4.3900000000000002E-2</v>
      </c>
      <c r="G190">
        <v>0.373</v>
      </c>
      <c r="H190">
        <v>7.16</v>
      </c>
      <c r="I190">
        <v>4.1900000000000004</v>
      </c>
      <c r="J190">
        <v>-0.84</v>
      </c>
      <c r="K190">
        <v>9.48</v>
      </c>
      <c r="L190">
        <v>4.84</v>
      </c>
      <c r="M190" s="1">
        <v>0.15629999999999999</v>
      </c>
      <c r="N190" s="1">
        <v>5.4699999999999999E-2</v>
      </c>
      <c r="O190">
        <v>1.28</v>
      </c>
      <c r="P190" s="1">
        <v>9.98E-2</v>
      </c>
      <c r="Q190" s="1">
        <v>9.8199999999999996E-2</v>
      </c>
      <c r="R190" s="3">
        <v>47662100</v>
      </c>
      <c r="S190" s="3">
        <v>3041060000</v>
      </c>
      <c r="T190">
        <v>1.74</v>
      </c>
      <c r="U190" s="1">
        <v>7.1999999999999995E-2</v>
      </c>
      <c r="V190" s="4">
        <f t="shared" si="10"/>
        <v>3.6583333333333333E-3</v>
      </c>
      <c r="W190" s="5">
        <f t="shared" si="11"/>
        <v>0</v>
      </c>
      <c r="X190" t="e">
        <f t="shared" si="12"/>
        <v>#DIV/0!</v>
      </c>
      <c r="Y190" s="5" t="e">
        <f t="shared" si="13"/>
        <v>#DIV/0!</v>
      </c>
      <c r="Z190" s="5" t="e">
        <f t="shared" si="14"/>
        <v>#DIV/0!</v>
      </c>
    </row>
    <row r="191" spans="1:26" x14ac:dyDescent="0.3">
      <c r="A191" t="s">
        <v>1231</v>
      </c>
      <c r="B191" s="5">
        <f>VLOOKUP(A191,Dim!A:B,2)</f>
        <v>29.49</v>
      </c>
      <c r="C191">
        <v>8.27</v>
      </c>
      <c r="D191">
        <v>3.24</v>
      </c>
      <c r="E191">
        <v>1.0620000000000001</v>
      </c>
      <c r="F191" s="1">
        <v>6.9400000000000003E-2</v>
      </c>
      <c r="G191">
        <v>0.96899999999999997</v>
      </c>
      <c r="H191">
        <v>1.58</v>
      </c>
      <c r="I191">
        <v>3.98</v>
      </c>
      <c r="J191">
        <v>5.91</v>
      </c>
      <c r="K191">
        <v>4.2300000000000004</v>
      </c>
      <c r="L191">
        <v>4.1100000000000003</v>
      </c>
      <c r="M191" s="1">
        <v>0.26700000000000002</v>
      </c>
      <c r="N191" s="1">
        <v>0.15110000000000001</v>
      </c>
      <c r="O191">
        <v>3.74</v>
      </c>
      <c r="P191" s="1">
        <v>0.34289999999999998</v>
      </c>
      <c r="Q191" s="1">
        <v>0.39240000000000003</v>
      </c>
      <c r="R191" s="3">
        <v>16201500</v>
      </c>
      <c r="S191" s="3">
        <v>911158000</v>
      </c>
      <c r="T191">
        <v>0.81</v>
      </c>
      <c r="U191" s="1">
        <v>0.2702</v>
      </c>
      <c r="V191" s="4">
        <f t="shared" si="10"/>
        <v>5.7833333333333339E-3</v>
      </c>
      <c r="W191" s="5">
        <f t="shared" si="11"/>
        <v>0.17055050000000002</v>
      </c>
      <c r="X191">
        <f t="shared" si="12"/>
        <v>174</v>
      </c>
      <c r="Y191" s="5">
        <f t="shared" si="13"/>
        <v>5131.2599999999993</v>
      </c>
      <c r="Z191" s="5">
        <f t="shared" si="14"/>
        <v>29.675787000000003</v>
      </c>
    </row>
    <row r="192" spans="1:26" x14ac:dyDescent="0.3">
      <c r="A192" t="s">
        <v>1230</v>
      </c>
      <c r="B192" s="5">
        <f>VLOOKUP(A192,Dim!A:B,2)</f>
        <v>18.149999999999999</v>
      </c>
      <c r="C192">
        <v>8.2200000000000006</v>
      </c>
      <c r="D192">
        <v>1.5</v>
      </c>
      <c r="E192">
        <v>3.681</v>
      </c>
      <c r="F192" s="1">
        <v>0.16239999999999999</v>
      </c>
      <c r="G192">
        <v>1.091</v>
      </c>
      <c r="H192">
        <v>2.34</v>
      </c>
      <c r="I192">
        <v>11.96</v>
      </c>
      <c r="J192">
        <v>2.5499999999999998</v>
      </c>
      <c r="K192">
        <v>7.69</v>
      </c>
      <c r="L192">
        <v>7.24</v>
      </c>
      <c r="M192" s="1">
        <v>0.30769999999999997</v>
      </c>
      <c r="N192" s="1">
        <v>0.56230000000000002</v>
      </c>
      <c r="O192">
        <v>7.5</v>
      </c>
      <c r="P192" s="1">
        <v>0.1545</v>
      </c>
      <c r="Q192" s="1">
        <v>0.1827</v>
      </c>
      <c r="R192" s="3">
        <v>295854</v>
      </c>
      <c r="S192" s="3">
        <v>1076040000</v>
      </c>
      <c r="T192">
        <v>0</v>
      </c>
      <c r="U192" s="1">
        <v>4.1799999999999997E-2</v>
      </c>
      <c r="V192" s="4">
        <f t="shared" si="10"/>
        <v>1.3533333333333333E-2</v>
      </c>
      <c r="W192" s="5">
        <f t="shared" si="11"/>
        <v>0.24562999999999999</v>
      </c>
      <c r="X192">
        <f t="shared" si="12"/>
        <v>75</v>
      </c>
      <c r="Y192" s="5">
        <f t="shared" si="13"/>
        <v>1361.25</v>
      </c>
      <c r="Z192" s="5">
        <f t="shared" si="14"/>
        <v>18.422249999999998</v>
      </c>
    </row>
    <row r="193" spans="1:26" x14ac:dyDescent="0.3">
      <c r="A193" t="s">
        <v>1228</v>
      </c>
      <c r="B193" s="5">
        <f>VLOOKUP(A193,Dim!A:B,2)</f>
        <v>5.74</v>
      </c>
      <c r="C193">
        <v>8.2100000000000009</v>
      </c>
      <c r="D193">
        <v>1.42</v>
      </c>
      <c r="E193">
        <v>15.3</v>
      </c>
      <c r="F193" s="1">
        <v>8.5099999999999995E-2</v>
      </c>
      <c r="G193">
        <v>1.1160000000000001</v>
      </c>
      <c r="H193">
        <v>19.559999999999999</v>
      </c>
      <c r="I193">
        <v>408.39</v>
      </c>
      <c r="J193">
        <v>-18.079999999999998</v>
      </c>
      <c r="K193">
        <v>421.57</v>
      </c>
      <c r="L193">
        <v>82.46</v>
      </c>
      <c r="M193" s="1">
        <v>3.7499999999999999E-2</v>
      </c>
      <c r="N193" s="1">
        <v>1.8805000000000001</v>
      </c>
      <c r="O193">
        <v>2</v>
      </c>
      <c r="P193" s="1">
        <v>3.0000000000000001E-3</v>
      </c>
      <c r="Q193" s="1">
        <v>0.17330000000000001</v>
      </c>
      <c r="R193" s="3">
        <v>226434000</v>
      </c>
      <c r="S193" s="3">
        <v>89574000000</v>
      </c>
      <c r="T193">
        <v>0.13</v>
      </c>
      <c r="U193" s="1">
        <v>9.5999999999999992E-3</v>
      </c>
      <c r="V193" s="4">
        <f t="shared" si="10"/>
        <v>7.0916666666666663E-3</v>
      </c>
      <c r="W193" s="5">
        <f t="shared" si="11"/>
        <v>4.0706166666666668E-2</v>
      </c>
      <c r="X193">
        <f t="shared" si="12"/>
        <v>143</v>
      </c>
      <c r="Y193" s="5">
        <f t="shared" si="13"/>
        <v>820.82</v>
      </c>
      <c r="Z193" s="5">
        <f t="shared" si="14"/>
        <v>5.8209818333333336</v>
      </c>
    </row>
    <row r="194" spans="1:26" x14ac:dyDescent="0.3">
      <c r="A194" t="s">
        <v>1229</v>
      </c>
      <c r="B194" s="5">
        <f>VLOOKUP(A194,Dim!A:B,2)</f>
        <v>58</v>
      </c>
      <c r="C194">
        <v>8.2100000000000009</v>
      </c>
      <c r="D194">
        <v>1.02</v>
      </c>
      <c r="E194">
        <v>1.3129999999999999</v>
      </c>
      <c r="F194" s="1">
        <v>2.7E-2</v>
      </c>
      <c r="G194">
        <v>0.66900000000000004</v>
      </c>
      <c r="H194">
        <v>2.09</v>
      </c>
      <c r="I194">
        <v>6.14</v>
      </c>
      <c r="J194">
        <v>5.7</v>
      </c>
      <c r="K194">
        <v>6.68</v>
      </c>
      <c r="L194">
        <v>5.77</v>
      </c>
      <c r="M194" s="1">
        <v>0.214</v>
      </c>
      <c r="N194" s="1">
        <v>0.1585</v>
      </c>
      <c r="O194">
        <v>3.17</v>
      </c>
      <c r="P194" s="1">
        <v>0.1305</v>
      </c>
      <c r="Q194" s="1">
        <v>0.12470000000000001</v>
      </c>
      <c r="R194" s="3">
        <v>2374400</v>
      </c>
      <c r="S194" s="3">
        <v>2266030000</v>
      </c>
      <c r="T194">
        <v>0.22</v>
      </c>
      <c r="U194" s="1">
        <v>7.3899999999999993E-2</v>
      </c>
      <c r="V194" s="4">
        <f t="shared" ref="V194:V257" si="15">F194/12</f>
        <v>2.2499999999999998E-3</v>
      </c>
      <c r="W194" s="5">
        <f t="shared" ref="W194:W257" si="16">V194*B194</f>
        <v>0.13049999999999998</v>
      </c>
      <c r="X194">
        <f t="shared" ref="X194:X257" si="17">ROUNDUP((B194/W194),0)+1</f>
        <v>446</v>
      </c>
      <c r="Y194" s="5">
        <f t="shared" ref="Y194:Y257" si="18">X194*B194</f>
        <v>25868</v>
      </c>
      <c r="Z194" s="5">
        <f t="shared" ref="Z194:Z257" si="19">X194*W194</f>
        <v>58.202999999999989</v>
      </c>
    </row>
    <row r="195" spans="1:26" x14ac:dyDescent="0.3">
      <c r="A195" t="s">
        <v>1227</v>
      </c>
      <c r="B195" s="5">
        <f>VLOOKUP(A195,Dim!A:B,2)</f>
        <v>5.74</v>
      </c>
      <c r="C195">
        <v>8.17</v>
      </c>
      <c r="D195">
        <v>1.42</v>
      </c>
      <c r="E195">
        <v>15.234</v>
      </c>
      <c r="F195" s="1">
        <v>8.5500000000000007E-2</v>
      </c>
      <c r="G195">
        <v>1.1120000000000001</v>
      </c>
      <c r="H195">
        <v>19.48</v>
      </c>
      <c r="I195">
        <v>406.63</v>
      </c>
      <c r="J195">
        <v>-18</v>
      </c>
      <c r="K195">
        <v>419.81</v>
      </c>
      <c r="L195">
        <v>82.12</v>
      </c>
      <c r="M195" s="1">
        <v>3.7499999999999999E-2</v>
      </c>
      <c r="N195" s="1">
        <v>1.8805000000000001</v>
      </c>
      <c r="O195">
        <v>2</v>
      </c>
      <c r="P195" s="1">
        <v>3.0000000000000001E-3</v>
      </c>
      <c r="Q195" s="1">
        <v>0.17330000000000001</v>
      </c>
      <c r="R195" s="3">
        <v>1345810</v>
      </c>
      <c r="S195" s="3">
        <v>89574000000</v>
      </c>
      <c r="T195">
        <v>0.13</v>
      </c>
      <c r="U195" s="1">
        <v>9.5999999999999992E-3</v>
      </c>
      <c r="V195" s="4">
        <f t="shared" si="15"/>
        <v>7.1250000000000003E-3</v>
      </c>
      <c r="W195" s="5">
        <f t="shared" si="16"/>
        <v>4.0897500000000003E-2</v>
      </c>
      <c r="X195">
        <f t="shared" si="17"/>
        <v>142</v>
      </c>
      <c r="Y195" s="5">
        <f t="shared" si="18"/>
        <v>815.08</v>
      </c>
      <c r="Z195" s="5">
        <f t="shared" si="19"/>
        <v>5.8074450000000004</v>
      </c>
    </row>
    <row r="196" spans="1:26" x14ac:dyDescent="0.3">
      <c r="A196" t="s">
        <v>1226</v>
      </c>
      <c r="B196" s="5">
        <f>VLOOKUP(A196,Dim!A:B,2)</f>
        <v>5.74</v>
      </c>
      <c r="C196">
        <v>8.14</v>
      </c>
      <c r="D196">
        <v>1.22</v>
      </c>
      <c r="E196">
        <v>0.84</v>
      </c>
      <c r="F196" s="1">
        <v>4.1399999999999999E-2</v>
      </c>
      <c r="G196">
        <v>0.68799999999999994</v>
      </c>
      <c r="H196">
        <v>1.55</v>
      </c>
      <c r="I196">
        <v>8.1300000000000008</v>
      </c>
      <c r="J196">
        <v>2.27</v>
      </c>
      <c r="K196">
        <v>7.69</v>
      </c>
      <c r="L196">
        <v>6.2</v>
      </c>
      <c r="M196" s="1">
        <v>0.1033</v>
      </c>
      <c r="N196" s="1">
        <v>0.1033</v>
      </c>
      <c r="O196">
        <v>2.54</v>
      </c>
      <c r="P196" s="1">
        <v>0.1381</v>
      </c>
      <c r="Q196" s="1">
        <v>0.14990000000000001</v>
      </c>
      <c r="R196" s="3">
        <v>26384600</v>
      </c>
      <c r="S196" s="3">
        <v>3154380000</v>
      </c>
      <c r="T196">
        <v>0.33</v>
      </c>
      <c r="U196" s="1">
        <v>0.1178</v>
      </c>
      <c r="V196" s="4">
        <f t="shared" si="15"/>
        <v>3.4499999999999999E-3</v>
      </c>
      <c r="W196" s="5">
        <f t="shared" si="16"/>
        <v>1.9803000000000001E-2</v>
      </c>
      <c r="X196">
        <f t="shared" si="17"/>
        <v>291</v>
      </c>
      <c r="Y196" s="5">
        <f t="shared" si="18"/>
        <v>1670.3400000000001</v>
      </c>
      <c r="Z196" s="5">
        <f t="shared" si="19"/>
        <v>5.7626730000000004</v>
      </c>
    </row>
    <row r="197" spans="1:26" x14ac:dyDescent="0.3">
      <c r="A197" t="s">
        <v>1225</v>
      </c>
      <c r="B197" s="5">
        <f>VLOOKUP(A197,Dim!A:B,2)</f>
        <v>106.55</v>
      </c>
      <c r="C197">
        <v>8.1199999999999992</v>
      </c>
      <c r="D197">
        <v>1.53</v>
      </c>
      <c r="E197">
        <v>1.2709999999999999</v>
      </c>
      <c r="F197" s="1">
        <v>6.2700000000000006E-2</v>
      </c>
      <c r="G197">
        <v>1.0609999999999999</v>
      </c>
      <c r="H197">
        <v>20.66</v>
      </c>
      <c r="I197">
        <v>6.13</v>
      </c>
      <c r="J197">
        <v>-72.239999999999995</v>
      </c>
      <c r="K197">
        <v>5.97</v>
      </c>
      <c r="L197">
        <v>3.97</v>
      </c>
      <c r="M197" s="1">
        <v>0.2072</v>
      </c>
      <c r="N197" s="1">
        <v>0.15640000000000001</v>
      </c>
      <c r="O197">
        <v>1.22</v>
      </c>
      <c r="P197" s="1">
        <v>0.2089</v>
      </c>
      <c r="Q197" s="1">
        <v>0.18779999999999999</v>
      </c>
      <c r="R197" s="3">
        <v>514658</v>
      </c>
      <c r="S197" s="3">
        <v>493056000</v>
      </c>
      <c r="T197">
        <v>0.12</v>
      </c>
      <c r="U197" s="1">
        <v>4.58E-2</v>
      </c>
      <c r="V197" s="4">
        <f t="shared" si="15"/>
        <v>5.2250000000000005E-3</v>
      </c>
      <c r="W197" s="5">
        <f t="shared" si="16"/>
        <v>0.55672375000000007</v>
      </c>
      <c r="X197">
        <f t="shared" si="17"/>
        <v>193</v>
      </c>
      <c r="Y197" s="5">
        <f t="shared" si="18"/>
        <v>20564.149999999998</v>
      </c>
      <c r="Z197" s="5">
        <f t="shared" si="19"/>
        <v>107.44768375000001</v>
      </c>
    </row>
    <row r="198" spans="1:26" x14ac:dyDescent="0.3">
      <c r="A198" t="s">
        <v>1211</v>
      </c>
      <c r="B198" s="5">
        <f>VLOOKUP(A198,Dim!A:B,2)</f>
        <v>0</v>
      </c>
      <c r="C198">
        <v>7.74</v>
      </c>
      <c r="D198">
        <v>1.02</v>
      </c>
      <c r="E198">
        <v>0.40600000000000003</v>
      </c>
      <c r="F198" s="1">
        <v>4.5100000000000001E-2</v>
      </c>
      <c r="G198">
        <v>0.35199999999999998</v>
      </c>
      <c r="H198">
        <v>2.96</v>
      </c>
      <c r="I198">
        <v>5.17</v>
      </c>
      <c r="J198">
        <v>-2.2200000000000002</v>
      </c>
      <c r="K198">
        <v>8.9600000000000009</v>
      </c>
      <c r="L198">
        <v>5.0599999999999996</v>
      </c>
      <c r="M198" s="1">
        <v>7.85E-2</v>
      </c>
      <c r="N198" s="1">
        <v>5.2299999999999999E-2</v>
      </c>
      <c r="O198">
        <v>1.31</v>
      </c>
      <c r="P198" s="1">
        <v>8.3699999999999997E-2</v>
      </c>
      <c r="Q198" s="1">
        <v>0.13159999999999999</v>
      </c>
      <c r="R198" s="3">
        <v>23484100</v>
      </c>
      <c r="S198" s="3">
        <v>2910560000</v>
      </c>
      <c r="T198">
        <v>0.9</v>
      </c>
      <c r="U198" s="1">
        <v>0.1729</v>
      </c>
      <c r="V198" s="4">
        <f t="shared" si="15"/>
        <v>3.7583333333333336E-3</v>
      </c>
      <c r="W198" s="5">
        <f t="shared" si="16"/>
        <v>0</v>
      </c>
      <c r="X198" t="e">
        <f t="shared" si="17"/>
        <v>#DIV/0!</v>
      </c>
      <c r="Y198" s="5" t="e">
        <f t="shared" si="18"/>
        <v>#DIV/0!</v>
      </c>
      <c r="Z198" s="5" t="e">
        <f t="shared" si="19"/>
        <v>#DIV/0!</v>
      </c>
    </row>
    <row r="199" spans="1:26" x14ac:dyDescent="0.3">
      <c r="A199" t="s">
        <v>1223</v>
      </c>
      <c r="B199" s="5">
        <f>VLOOKUP(A199,Dim!A:B,2)</f>
        <v>5.74</v>
      </c>
      <c r="C199">
        <v>8.1</v>
      </c>
      <c r="D199">
        <v>0.8</v>
      </c>
      <c r="E199">
        <v>2.4</v>
      </c>
      <c r="F199" s="1">
        <v>7.6100000000000001E-2</v>
      </c>
      <c r="G199">
        <v>0.56899999999999995</v>
      </c>
      <c r="H199">
        <v>1.43</v>
      </c>
      <c r="I199">
        <v>11.23</v>
      </c>
      <c r="J199">
        <v>3.31</v>
      </c>
      <c r="K199">
        <v>12.18</v>
      </c>
      <c r="L199">
        <v>11.7</v>
      </c>
      <c r="M199" s="1">
        <v>0.21360000000000001</v>
      </c>
      <c r="N199" s="1">
        <v>0.31309999999999999</v>
      </c>
      <c r="O199">
        <v>9.3699999999999992</v>
      </c>
      <c r="P199" s="1">
        <v>6.1499999999999999E-2</v>
      </c>
      <c r="Q199" s="1">
        <v>9.8299999999999998E-2</v>
      </c>
      <c r="R199" s="3">
        <v>21202900</v>
      </c>
      <c r="S199" s="3">
        <v>5016000000</v>
      </c>
      <c r="T199">
        <v>0.31</v>
      </c>
      <c r="U199" s="1">
        <v>0.12759999999999999</v>
      </c>
      <c r="V199" s="4">
        <f t="shared" si="15"/>
        <v>6.3416666666666665E-3</v>
      </c>
      <c r="W199" s="5">
        <f t="shared" si="16"/>
        <v>3.6401166666666665E-2</v>
      </c>
      <c r="X199">
        <f t="shared" si="17"/>
        <v>159</v>
      </c>
      <c r="Y199" s="5">
        <f t="shared" si="18"/>
        <v>912.66000000000008</v>
      </c>
      <c r="Z199" s="5">
        <f t="shared" si="19"/>
        <v>5.7877855</v>
      </c>
    </row>
    <row r="200" spans="1:26" x14ac:dyDescent="0.3">
      <c r="A200" t="s">
        <v>1221</v>
      </c>
      <c r="B200" s="5">
        <f>VLOOKUP(A200,Dim!A:B,2)</f>
        <v>18.149999999999999</v>
      </c>
      <c r="C200">
        <v>8.09</v>
      </c>
      <c r="D200">
        <v>1.48</v>
      </c>
      <c r="E200">
        <v>3.6269999999999998</v>
      </c>
      <c r="F200" s="1">
        <v>0.1648</v>
      </c>
      <c r="G200">
        <v>1.075</v>
      </c>
      <c r="H200">
        <v>2.31</v>
      </c>
      <c r="I200">
        <v>11.79</v>
      </c>
      <c r="J200">
        <v>2.5099999999999998</v>
      </c>
      <c r="K200">
        <v>7.51</v>
      </c>
      <c r="L200">
        <v>7.07</v>
      </c>
      <c r="M200" s="1">
        <v>0.30769999999999997</v>
      </c>
      <c r="N200" s="1">
        <v>0.56230000000000002</v>
      </c>
      <c r="O200">
        <v>7.5</v>
      </c>
      <c r="P200" s="1">
        <v>0.1545</v>
      </c>
      <c r="Q200" s="1">
        <v>0.1827</v>
      </c>
      <c r="R200" s="3">
        <v>161909</v>
      </c>
      <c r="S200" s="3">
        <v>1076040000</v>
      </c>
      <c r="T200">
        <v>0</v>
      </c>
      <c r="U200" s="1">
        <v>4.1799999999999997E-2</v>
      </c>
      <c r="V200" s="4">
        <f t="shared" si="15"/>
        <v>1.3733333333333334E-2</v>
      </c>
      <c r="W200" s="5">
        <f t="shared" si="16"/>
        <v>0.24925999999999998</v>
      </c>
      <c r="X200">
        <f t="shared" si="17"/>
        <v>74</v>
      </c>
      <c r="Y200" s="5">
        <f t="shared" si="18"/>
        <v>1343.1</v>
      </c>
      <c r="Z200" s="5">
        <f t="shared" si="19"/>
        <v>18.445239999999998</v>
      </c>
    </row>
    <row r="201" spans="1:26" x14ac:dyDescent="0.3">
      <c r="A201" t="s">
        <v>1216</v>
      </c>
      <c r="B201" s="5">
        <f>VLOOKUP(A201,Dim!A:B,2)</f>
        <v>22.54</v>
      </c>
      <c r="C201">
        <v>7.97</v>
      </c>
      <c r="D201">
        <v>1.7</v>
      </c>
      <c r="E201">
        <v>0.44700000000000001</v>
      </c>
      <c r="F201" s="1">
        <v>0.1643</v>
      </c>
      <c r="G201">
        <v>0.44500000000000001</v>
      </c>
      <c r="H201">
        <v>2.5499999999999998</v>
      </c>
      <c r="I201">
        <v>3.86</v>
      </c>
      <c r="J201">
        <v>-2.14</v>
      </c>
      <c r="K201">
        <v>4.63</v>
      </c>
      <c r="L201">
        <v>3.13</v>
      </c>
      <c r="M201" s="1">
        <v>0.1157</v>
      </c>
      <c r="N201" s="1">
        <v>6.1400000000000003E-2</v>
      </c>
      <c r="O201">
        <v>1.52</v>
      </c>
      <c r="P201" s="1">
        <v>0.22009999999999999</v>
      </c>
      <c r="Q201" s="1">
        <v>0.21279999999999999</v>
      </c>
      <c r="R201" s="3">
        <v>172036000</v>
      </c>
      <c r="S201" s="3">
        <v>16846400000</v>
      </c>
      <c r="T201">
        <v>1.23</v>
      </c>
      <c r="U201" s="1">
        <v>9.0399999999999994E-2</v>
      </c>
      <c r="V201" s="4">
        <f t="shared" si="15"/>
        <v>1.3691666666666666E-2</v>
      </c>
      <c r="W201" s="5">
        <f t="shared" si="16"/>
        <v>0.30861016666666663</v>
      </c>
      <c r="X201">
        <f t="shared" si="17"/>
        <v>75</v>
      </c>
      <c r="Y201" s="5">
        <f t="shared" si="18"/>
        <v>1690.5</v>
      </c>
      <c r="Z201" s="5">
        <f t="shared" si="19"/>
        <v>23.145762499999996</v>
      </c>
    </row>
    <row r="202" spans="1:26" x14ac:dyDescent="0.3">
      <c r="A202" t="s">
        <v>1213</v>
      </c>
      <c r="B202" s="5">
        <f>VLOOKUP(A202,Dim!A:B,2)</f>
        <v>5.74</v>
      </c>
      <c r="C202">
        <v>7.86</v>
      </c>
      <c r="D202">
        <v>0.96</v>
      </c>
      <c r="E202">
        <v>0.66300000000000003</v>
      </c>
      <c r="F202" s="1">
        <v>2.9000000000000001E-2</v>
      </c>
      <c r="G202">
        <v>0.30499999999999999</v>
      </c>
      <c r="H202">
        <v>8.6</v>
      </c>
      <c r="I202">
        <v>3.06</v>
      </c>
      <c r="J202">
        <v>-0.62</v>
      </c>
      <c r="K202">
        <v>7.22</v>
      </c>
      <c r="L202">
        <v>5.7</v>
      </c>
      <c r="M202" s="1">
        <v>0.2165</v>
      </c>
      <c r="N202" s="1">
        <v>8.4900000000000003E-2</v>
      </c>
      <c r="O202">
        <v>1.23</v>
      </c>
      <c r="P202" s="1">
        <v>0.10979999999999999</v>
      </c>
      <c r="Q202" s="1">
        <v>0.12180000000000001</v>
      </c>
      <c r="R202" s="3">
        <v>54041800</v>
      </c>
      <c r="S202" s="3">
        <v>36192000000</v>
      </c>
      <c r="T202">
        <v>1.47</v>
      </c>
      <c r="U202" s="1">
        <v>5.4800000000000001E-2</v>
      </c>
      <c r="V202" s="4">
        <f t="shared" si="15"/>
        <v>2.4166666666666668E-3</v>
      </c>
      <c r="W202" s="5">
        <f t="shared" si="16"/>
        <v>1.3871666666666668E-2</v>
      </c>
      <c r="X202">
        <f t="shared" si="17"/>
        <v>415</v>
      </c>
      <c r="Y202" s="5">
        <f t="shared" si="18"/>
        <v>2382.1</v>
      </c>
      <c r="Z202" s="5">
        <f t="shared" si="19"/>
        <v>5.7567416666666666</v>
      </c>
    </row>
    <row r="203" spans="1:26" x14ac:dyDescent="0.3">
      <c r="A203" t="s">
        <v>1207</v>
      </c>
      <c r="B203" s="5">
        <f>VLOOKUP(A203,Dim!A:B,2)</f>
        <v>5.74</v>
      </c>
      <c r="C203">
        <v>7.6</v>
      </c>
      <c r="D203">
        <v>2.95</v>
      </c>
      <c r="E203">
        <v>1.19</v>
      </c>
      <c r="F203" s="1">
        <v>0.10539999999999999</v>
      </c>
      <c r="G203">
        <v>0.77</v>
      </c>
      <c r="H203">
        <v>-135.62</v>
      </c>
      <c r="I203">
        <v>4.8600000000000003</v>
      </c>
      <c r="J203">
        <v>-1.82</v>
      </c>
      <c r="K203">
        <v>6.5</v>
      </c>
      <c r="L203">
        <v>5.49</v>
      </c>
      <c r="M203" s="1">
        <v>0.24510000000000001</v>
      </c>
      <c r="N203" s="1">
        <v>0.15659999999999999</v>
      </c>
      <c r="O203">
        <v>0.98</v>
      </c>
      <c r="P203" s="1">
        <v>0.19550000000000001</v>
      </c>
      <c r="Q203" s="1">
        <v>0.38850000000000001</v>
      </c>
      <c r="R203">
        <v>14.53</v>
      </c>
      <c r="S203" s="3">
        <v>4674070000</v>
      </c>
      <c r="T203">
        <v>1.46</v>
      </c>
      <c r="U203" s="1">
        <v>0.14000000000000001</v>
      </c>
      <c r="V203" s="4">
        <f t="shared" si="15"/>
        <v>8.7833333333333322E-3</v>
      </c>
      <c r="W203" s="5">
        <f t="shared" si="16"/>
        <v>5.0416333333333327E-2</v>
      </c>
      <c r="X203">
        <f t="shared" si="17"/>
        <v>115</v>
      </c>
      <c r="Y203" s="5">
        <f t="shared" si="18"/>
        <v>660.1</v>
      </c>
      <c r="Z203" s="5">
        <f t="shared" si="19"/>
        <v>5.7978783333333324</v>
      </c>
    </row>
    <row r="204" spans="1:26" x14ac:dyDescent="0.3">
      <c r="A204" t="s">
        <v>1201</v>
      </c>
      <c r="B204" s="5">
        <f>VLOOKUP(A204,Dim!A:B,2)</f>
        <v>5.74</v>
      </c>
      <c r="C204">
        <v>7.43</v>
      </c>
      <c r="D204">
        <v>5.41</v>
      </c>
      <c r="E204">
        <v>0.78300000000000003</v>
      </c>
      <c r="F204" s="1">
        <v>8.9399999999999993E-2</v>
      </c>
      <c r="G204">
        <v>1.071</v>
      </c>
      <c r="H204">
        <v>6.96</v>
      </c>
      <c r="I204">
        <v>4.79</v>
      </c>
      <c r="J204">
        <v>-5.74</v>
      </c>
      <c r="K204">
        <v>6.2</v>
      </c>
      <c r="L204">
        <v>5.43</v>
      </c>
      <c r="M204" s="1">
        <v>0.16350000000000001</v>
      </c>
      <c r="N204" s="1">
        <v>0.10539999999999999</v>
      </c>
      <c r="O204">
        <v>1.33</v>
      </c>
      <c r="P204" s="1">
        <v>0.31430000000000002</v>
      </c>
      <c r="Q204" s="1">
        <v>0.72760000000000002</v>
      </c>
      <c r="R204" s="3">
        <v>7526620</v>
      </c>
      <c r="S204" s="3">
        <v>739079000</v>
      </c>
      <c r="T204">
        <v>1.88</v>
      </c>
      <c r="U204" s="1">
        <v>0.11169999999999999</v>
      </c>
      <c r="V204" s="4">
        <f t="shared" si="15"/>
        <v>7.4499999999999992E-3</v>
      </c>
      <c r="W204" s="5">
        <f t="shared" si="16"/>
        <v>4.2762999999999995E-2</v>
      </c>
      <c r="X204">
        <f t="shared" si="17"/>
        <v>136</v>
      </c>
      <c r="Y204" s="5">
        <f t="shared" si="18"/>
        <v>780.64</v>
      </c>
      <c r="Z204" s="5">
        <f t="shared" si="19"/>
        <v>5.8157679999999994</v>
      </c>
    </row>
    <row r="205" spans="1:26" x14ac:dyDescent="0.3">
      <c r="A205" t="s">
        <v>1200</v>
      </c>
      <c r="B205" s="5">
        <f>VLOOKUP(A205,Dim!A:B,2)</f>
        <v>58</v>
      </c>
      <c r="C205">
        <v>7.37</v>
      </c>
      <c r="D205">
        <v>1</v>
      </c>
      <c r="E205">
        <v>0</v>
      </c>
      <c r="F205" s="1">
        <v>7.6499999999999999E-2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 s="1">
        <v>0</v>
      </c>
      <c r="N205" s="1">
        <v>0</v>
      </c>
      <c r="O205">
        <v>0</v>
      </c>
      <c r="P205" s="1">
        <v>0</v>
      </c>
      <c r="Q205" s="1">
        <v>0.13569999999999999</v>
      </c>
      <c r="R205" s="3">
        <v>97842600</v>
      </c>
      <c r="S205" s="3">
        <v>169590000000</v>
      </c>
      <c r="T205">
        <v>0</v>
      </c>
      <c r="U205" s="1">
        <v>-6.0600000000000001E-2</v>
      </c>
      <c r="V205" s="4">
        <f t="shared" si="15"/>
        <v>6.3749999999999996E-3</v>
      </c>
      <c r="W205" s="5">
        <f t="shared" si="16"/>
        <v>0.36974999999999997</v>
      </c>
      <c r="X205">
        <f t="shared" si="17"/>
        <v>158</v>
      </c>
      <c r="Y205" s="5">
        <f t="shared" si="18"/>
        <v>9164</v>
      </c>
      <c r="Z205" s="5">
        <f t="shared" si="19"/>
        <v>58.420499999999997</v>
      </c>
    </row>
    <row r="206" spans="1:26" x14ac:dyDescent="0.3">
      <c r="A206" t="s">
        <v>1198</v>
      </c>
      <c r="B206" s="5">
        <f>VLOOKUP(A206,Dim!A:B,2)</f>
        <v>5.74</v>
      </c>
      <c r="C206">
        <v>7.32</v>
      </c>
      <c r="D206">
        <v>1.02</v>
      </c>
      <c r="E206">
        <v>2.4</v>
      </c>
      <c r="F206" s="1">
        <v>7.2599999999999998E-2</v>
      </c>
      <c r="G206">
        <v>0.46899999999999997</v>
      </c>
      <c r="H206">
        <v>3.91</v>
      </c>
      <c r="I206">
        <v>6.23</v>
      </c>
      <c r="J206">
        <v>-1.25</v>
      </c>
      <c r="K206">
        <v>9.84</v>
      </c>
      <c r="L206">
        <v>9.74</v>
      </c>
      <c r="M206" s="1">
        <v>0.3851</v>
      </c>
      <c r="N206" s="1">
        <v>0.33450000000000002</v>
      </c>
      <c r="O206">
        <v>4.46</v>
      </c>
      <c r="P206" s="1">
        <v>7.9899999999999999E-2</v>
      </c>
      <c r="Q206" s="1">
        <v>0.1399</v>
      </c>
      <c r="R206" s="3">
        <v>67789.899999999994</v>
      </c>
      <c r="S206" s="3">
        <v>20907000000</v>
      </c>
      <c r="T206">
        <v>0.71</v>
      </c>
      <c r="U206" s="1">
        <v>0.17910000000000001</v>
      </c>
      <c r="V206" s="4">
        <f t="shared" si="15"/>
        <v>6.0499999999999998E-3</v>
      </c>
      <c r="W206" s="5">
        <f t="shared" si="16"/>
        <v>3.4727000000000001E-2</v>
      </c>
      <c r="X206">
        <f t="shared" si="17"/>
        <v>167</v>
      </c>
      <c r="Y206" s="5">
        <f t="shared" si="18"/>
        <v>958.58</v>
      </c>
      <c r="Z206" s="5">
        <f t="shared" si="19"/>
        <v>5.7994089999999998</v>
      </c>
    </row>
    <row r="207" spans="1:26" x14ac:dyDescent="0.3">
      <c r="A207" t="s">
        <v>1549</v>
      </c>
      <c r="B207" s="5">
        <f>VLOOKUP(A207,Dim!A:B,2)</f>
        <v>0</v>
      </c>
      <c r="C207">
        <v>53.73</v>
      </c>
      <c r="D207">
        <v>1.17</v>
      </c>
      <c r="E207">
        <v>0.44400000000000001</v>
      </c>
      <c r="F207" s="1">
        <v>2.5999999999999999E-3</v>
      </c>
      <c r="G207">
        <v>0.32300000000000001</v>
      </c>
      <c r="H207">
        <v>0.88</v>
      </c>
      <c r="I207">
        <v>-13.45</v>
      </c>
      <c r="J207">
        <v>-4.7300000000000004</v>
      </c>
      <c r="K207">
        <v>6.24</v>
      </c>
      <c r="L207">
        <v>8.02</v>
      </c>
      <c r="M207" s="1">
        <v>-3.3000000000000002E-2</v>
      </c>
      <c r="N207" s="1">
        <v>8.3000000000000001E-3</v>
      </c>
      <c r="O207">
        <v>2.29</v>
      </c>
      <c r="P207" s="1">
        <v>-5.62E-2</v>
      </c>
      <c r="Q207" s="1">
        <v>2.1700000000000001E-2</v>
      </c>
      <c r="R207">
        <v>0</v>
      </c>
      <c r="S207" s="3">
        <v>8363840000</v>
      </c>
      <c r="T207">
        <v>0.37</v>
      </c>
      <c r="U207" s="1">
        <v>1.66E-2</v>
      </c>
      <c r="V207" s="4">
        <f t="shared" si="15"/>
        <v>2.1666666666666666E-4</v>
      </c>
      <c r="W207" s="5">
        <f t="shared" si="16"/>
        <v>0</v>
      </c>
      <c r="X207" t="e">
        <f t="shared" si="17"/>
        <v>#DIV/0!</v>
      </c>
      <c r="Y207" s="5" t="e">
        <f t="shared" si="18"/>
        <v>#DIV/0!</v>
      </c>
      <c r="Z207" s="5" t="e">
        <f t="shared" si="19"/>
        <v>#DIV/0!</v>
      </c>
    </row>
    <row r="208" spans="1:26" x14ac:dyDescent="0.3">
      <c r="A208" t="s">
        <v>1196</v>
      </c>
      <c r="B208" s="5">
        <f>VLOOKUP(A208,Dim!A:B,2)</f>
        <v>58</v>
      </c>
      <c r="C208">
        <v>7.3</v>
      </c>
      <c r="D208">
        <v>0.7</v>
      </c>
      <c r="E208">
        <v>0.503</v>
      </c>
      <c r="F208" s="1">
        <v>2.0500000000000001E-2</v>
      </c>
      <c r="G208">
        <v>0.374</v>
      </c>
      <c r="H208">
        <v>2.2400000000000002</v>
      </c>
      <c r="I208">
        <v>6.18</v>
      </c>
      <c r="J208">
        <v>-18.649999999999999</v>
      </c>
      <c r="K208">
        <v>8.5399999999999991</v>
      </c>
      <c r="L208">
        <v>5.1100000000000003</v>
      </c>
      <c r="M208" s="1">
        <v>8.1299999999999997E-2</v>
      </c>
      <c r="N208" s="1">
        <v>6.88E-2</v>
      </c>
      <c r="O208">
        <v>1.61</v>
      </c>
      <c r="P208" s="1">
        <v>7.1300000000000002E-2</v>
      </c>
      <c r="Q208" s="1">
        <v>9.5299999999999996E-2</v>
      </c>
      <c r="R208" s="3">
        <v>68928000</v>
      </c>
      <c r="S208" s="3">
        <v>8339550000</v>
      </c>
      <c r="T208">
        <v>0.36</v>
      </c>
      <c r="U208" s="1">
        <v>0.45250000000000001</v>
      </c>
      <c r="V208" s="4">
        <f t="shared" si="15"/>
        <v>1.7083333333333334E-3</v>
      </c>
      <c r="W208" s="5">
        <f t="shared" si="16"/>
        <v>9.9083333333333343E-2</v>
      </c>
      <c r="X208">
        <f t="shared" si="17"/>
        <v>587</v>
      </c>
      <c r="Y208" s="5">
        <f t="shared" si="18"/>
        <v>34046</v>
      </c>
      <c r="Z208" s="5">
        <f t="shared" si="19"/>
        <v>58.16191666666667</v>
      </c>
    </row>
    <row r="209" spans="1:26" x14ac:dyDescent="0.3">
      <c r="A209" t="s">
        <v>1193</v>
      </c>
      <c r="B209" s="5">
        <f>VLOOKUP(A209,Dim!A:B,2)</f>
        <v>58</v>
      </c>
      <c r="C209">
        <v>7.27</v>
      </c>
      <c r="D209">
        <v>6.18</v>
      </c>
      <c r="E209">
        <v>0</v>
      </c>
      <c r="F209" s="1">
        <v>0.13120000000000001</v>
      </c>
      <c r="G209">
        <v>3.0329999999999999</v>
      </c>
      <c r="H209">
        <v>0</v>
      </c>
      <c r="I209">
        <v>6.55</v>
      </c>
      <c r="J209">
        <v>0</v>
      </c>
      <c r="K209">
        <v>0</v>
      </c>
      <c r="L209">
        <v>0</v>
      </c>
      <c r="M209" s="1">
        <v>0</v>
      </c>
      <c r="N209" s="1">
        <v>0</v>
      </c>
      <c r="O209">
        <v>0</v>
      </c>
      <c r="P209" s="1">
        <v>0</v>
      </c>
      <c r="Q209" s="1">
        <v>0.84970000000000001</v>
      </c>
      <c r="R209" s="3">
        <v>168073000</v>
      </c>
      <c r="S209" s="3">
        <v>10494000000</v>
      </c>
      <c r="T209">
        <v>0</v>
      </c>
      <c r="U209" s="1">
        <v>0</v>
      </c>
      <c r="V209" s="4">
        <f t="shared" si="15"/>
        <v>1.0933333333333335E-2</v>
      </c>
      <c r="W209" s="5">
        <f t="shared" si="16"/>
        <v>0.63413333333333344</v>
      </c>
      <c r="X209">
        <f t="shared" si="17"/>
        <v>93</v>
      </c>
      <c r="Y209" s="5">
        <f t="shared" si="18"/>
        <v>5394</v>
      </c>
      <c r="Z209" s="5">
        <f t="shared" si="19"/>
        <v>58.97440000000001</v>
      </c>
    </row>
    <row r="210" spans="1:26" x14ac:dyDescent="0.3">
      <c r="A210" t="s">
        <v>1194</v>
      </c>
      <c r="B210" s="5">
        <f>VLOOKUP(A210,Dim!A:B,2)</f>
        <v>29.95</v>
      </c>
      <c r="C210">
        <v>7.27</v>
      </c>
      <c r="D210">
        <v>1.45</v>
      </c>
      <c r="E210">
        <v>0.52400000000000002</v>
      </c>
      <c r="F210" s="1">
        <v>3.9100000000000003E-2</v>
      </c>
      <c r="G210">
        <v>0.16800000000000001</v>
      </c>
      <c r="H210">
        <v>-3.39</v>
      </c>
      <c r="I210">
        <v>1.46</v>
      </c>
      <c r="J210">
        <v>-0.22</v>
      </c>
      <c r="K210">
        <v>6.75</v>
      </c>
      <c r="L210">
        <v>5.15</v>
      </c>
      <c r="M210" s="1">
        <v>0.3594</v>
      </c>
      <c r="N210" s="1">
        <v>7.0599999999999996E-2</v>
      </c>
      <c r="O210">
        <v>0.72</v>
      </c>
      <c r="P210" s="1">
        <v>0.1283</v>
      </c>
      <c r="Q210" s="1">
        <v>0.19989999999999999</v>
      </c>
      <c r="R210" s="3">
        <v>29875700</v>
      </c>
      <c r="S210" s="3">
        <v>3777960000</v>
      </c>
      <c r="T210">
        <v>6.06</v>
      </c>
      <c r="U210" s="1">
        <v>0.28160000000000002</v>
      </c>
      <c r="V210" s="4">
        <f t="shared" si="15"/>
        <v>3.2583333333333336E-3</v>
      </c>
      <c r="W210" s="5">
        <f t="shared" si="16"/>
        <v>9.7587083333333338E-2</v>
      </c>
      <c r="X210">
        <f t="shared" si="17"/>
        <v>308</v>
      </c>
      <c r="Y210" s="5">
        <f t="shared" si="18"/>
        <v>9224.6</v>
      </c>
      <c r="Z210" s="5">
        <f t="shared" si="19"/>
        <v>30.056821666666668</v>
      </c>
    </row>
    <row r="211" spans="1:26" x14ac:dyDescent="0.3">
      <c r="A211" t="s">
        <v>1190</v>
      </c>
      <c r="B211" s="5">
        <f>VLOOKUP(A211,Dim!A:B,2)</f>
        <v>58</v>
      </c>
      <c r="C211">
        <v>7.2</v>
      </c>
      <c r="D211">
        <v>1.1299999999999999</v>
      </c>
      <c r="E211">
        <v>0.93799999999999994</v>
      </c>
      <c r="F211" s="1">
        <v>0.1094</v>
      </c>
      <c r="G211">
        <v>0.71199999999999997</v>
      </c>
      <c r="H211">
        <v>1.37</v>
      </c>
      <c r="I211">
        <v>5.23</v>
      </c>
      <c r="J211">
        <v>1.97</v>
      </c>
      <c r="K211">
        <v>3.67</v>
      </c>
      <c r="L211">
        <v>3.24</v>
      </c>
      <c r="M211" s="1">
        <v>0.1794</v>
      </c>
      <c r="N211" s="1">
        <v>0.13469999999999999</v>
      </c>
      <c r="O211">
        <v>3.46</v>
      </c>
      <c r="P211" s="1">
        <v>0.20269999999999999</v>
      </c>
      <c r="Q211" s="1">
        <v>0.15659999999999999</v>
      </c>
      <c r="R211" s="3">
        <v>1160.49</v>
      </c>
      <c r="S211" s="3">
        <v>181541000</v>
      </c>
      <c r="T211">
        <v>0.12</v>
      </c>
      <c r="U211" s="1">
        <v>0.1027</v>
      </c>
      <c r="V211" s="4">
        <f t="shared" si="15"/>
        <v>9.116666666666667E-3</v>
      </c>
      <c r="W211" s="5">
        <f t="shared" si="16"/>
        <v>0.52876666666666672</v>
      </c>
      <c r="X211">
        <f t="shared" si="17"/>
        <v>111</v>
      </c>
      <c r="Y211" s="5">
        <f t="shared" si="18"/>
        <v>6438</v>
      </c>
      <c r="Z211" s="5">
        <f t="shared" si="19"/>
        <v>58.693100000000008</v>
      </c>
    </row>
    <row r="212" spans="1:26" x14ac:dyDescent="0.3">
      <c r="A212" t="s">
        <v>1185</v>
      </c>
      <c r="B212" s="5">
        <f>VLOOKUP(A212,Dim!A:B,2)</f>
        <v>29.49</v>
      </c>
      <c r="C212">
        <v>7.11</v>
      </c>
      <c r="D212">
        <v>2.0499999999999998</v>
      </c>
      <c r="E212">
        <v>0.95699999999999996</v>
      </c>
      <c r="F212" s="1">
        <v>8.2100000000000006E-2</v>
      </c>
      <c r="G212">
        <v>0.90400000000000003</v>
      </c>
      <c r="H212">
        <v>3.23</v>
      </c>
      <c r="I212">
        <v>6.25</v>
      </c>
      <c r="J212">
        <v>19.09</v>
      </c>
      <c r="K212">
        <v>7.24</v>
      </c>
      <c r="L212">
        <v>6.47</v>
      </c>
      <c r="M212" s="1">
        <v>0.15310000000000001</v>
      </c>
      <c r="N212" s="1">
        <v>0.13600000000000001</v>
      </c>
      <c r="O212">
        <v>1.87</v>
      </c>
      <c r="P212" s="1">
        <v>0.20019999999999999</v>
      </c>
      <c r="Q212" s="1">
        <v>0.28889999999999999</v>
      </c>
      <c r="R212" s="3">
        <v>3601350</v>
      </c>
      <c r="S212" s="3">
        <v>4175410000</v>
      </c>
      <c r="T212">
        <v>0.79</v>
      </c>
      <c r="U212" s="1">
        <v>0.28079999999999999</v>
      </c>
      <c r="V212" s="4">
        <f t="shared" si="15"/>
        <v>6.8416666666666669E-3</v>
      </c>
      <c r="W212" s="5">
        <f t="shared" si="16"/>
        <v>0.20176074999999999</v>
      </c>
      <c r="X212">
        <f t="shared" si="17"/>
        <v>148</v>
      </c>
      <c r="Y212" s="5">
        <f t="shared" si="18"/>
        <v>4364.5199999999995</v>
      </c>
      <c r="Z212" s="5">
        <f t="shared" si="19"/>
        <v>29.860590999999999</v>
      </c>
    </row>
    <row r="213" spans="1:26" x14ac:dyDescent="0.3">
      <c r="A213" t="s">
        <v>1589</v>
      </c>
      <c r="B213" s="5">
        <f>VLOOKUP(A213,Dim!A:B,2)</f>
        <v>0</v>
      </c>
      <c r="C213" s="3">
        <v>1008.83</v>
      </c>
      <c r="D213">
        <v>0.51</v>
      </c>
      <c r="E213">
        <v>0.45900000000000002</v>
      </c>
      <c r="F213" s="1">
        <v>2.9999999999999997E-4</v>
      </c>
      <c r="G213">
        <v>0.316</v>
      </c>
      <c r="H213">
        <v>3.72</v>
      </c>
      <c r="I213">
        <v>10.41</v>
      </c>
      <c r="J213">
        <v>-4.57</v>
      </c>
      <c r="K213">
        <v>16.510000000000002</v>
      </c>
      <c r="L213">
        <v>3.77</v>
      </c>
      <c r="M213" s="1">
        <v>4.41E-2</v>
      </c>
      <c r="N213" s="1">
        <v>5.0000000000000001E-4</v>
      </c>
      <c r="O213">
        <v>1.38</v>
      </c>
      <c r="P213" s="1">
        <v>3.3500000000000002E-2</v>
      </c>
      <c r="Q213" s="1">
        <v>5.0000000000000001E-4</v>
      </c>
      <c r="R213" s="3">
        <v>67102.5</v>
      </c>
      <c r="S213" s="3">
        <v>1045960000</v>
      </c>
      <c r="T213">
        <v>0.33</v>
      </c>
      <c r="U213" s="1">
        <v>0.112</v>
      </c>
      <c r="V213" s="4">
        <f t="shared" si="15"/>
        <v>2.4999999999999998E-5</v>
      </c>
      <c r="W213" s="5">
        <f t="shared" si="16"/>
        <v>0</v>
      </c>
      <c r="X213" t="e">
        <f t="shared" si="17"/>
        <v>#DIV/0!</v>
      </c>
      <c r="Y213" s="5" t="e">
        <f t="shared" si="18"/>
        <v>#DIV/0!</v>
      </c>
      <c r="Z213" s="5" t="e">
        <f t="shared" si="19"/>
        <v>#DIV/0!</v>
      </c>
    </row>
    <row r="214" spans="1:26" x14ac:dyDescent="0.3">
      <c r="A214" t="s">
        <v>1544</v>
      </c>
      <c r="B214" s="5">
        <f>VLOOKUP(A214,Dim!A:B,2)</f>
        <v>0</v>
      </c>
      <c r="C214">
        <v>52.23</v>
      </c>
      <c r="D214">
        <v>1.1299999999999999</v>
      </c>
      <c r="E214">
        <v>0.432</v>
      </c>
      <c r="F214" s="1">
        <v>2.7000000000000001E-3</v>
      </c>
      <c r="G214">
        <v>0.314</v>
      </c>
      <c r="H214">
        <v>0.85</v>
      </c>
      <c r="I214">
        <v>-13.07</v>
      </c>
      <c r="J214">
        <v>-4.5999999999999996</v>
      </c>
      <c r="K214">
        <v>6.62</v>
      </c>
      <c r="L214">
        <v>8.51</v>
      </c>
      <c r="M214" s="1">
        <v>-3.3000000000000002E-2</v>
      </c>
      <c r="N214" s="1">
        <v>8.3000000000000001E-3</v>
      </c>
      <c r="O214">
        <v>2.29</v>
      </c>
      <c r="P214" s="1">
        <v>-5.62E-2</v>
      </c>
      <c r="Q214" s="1">
        <v>2.1700000000000001E-2</v>
      </c>
      <c r="R214">
        <v>0</v>
      </c>
      <c r="S214" s="3">
        <v>8363840000</v>
      </c>
      <c r="T214">
        <v>0.37</v>
      </c>
      <c r="U214" s="1">
        <v>1.66E-2</v>
      </c>
      <c r="V214" s="4">
        <f t="shared" si="15"/>
        <v>2.2500000000000002E-4</v>
      </c>
      <c r="W214" s="5">
        <f t="shared" si="16"/>
        <v>0</v>
      </c>
      <c r="X214" t="e">
        <f t="shared" si="17"/>
        <v>#DIV/0!</v>
      </c>
      <c r="Y214" s="5" t="e">
        <f t="shared" si="18"/>
        <v>#DIV/0!</v>
      </c>
      <c r="Z214" s="5" t="e">
        <f t="shared" si="19"/>
        <v>#DIV/0!</v>
      </c>
    </row>
    <row r="215" spans="1:26" x14ac:dyDescent="0.3">
      <c r="A215" t="s">
        <v>1545</v>
      </c>
      <c r="B215" s="5">
        <f>VLOOKUP(A215,Dim!A:B,2)</f>
        <v>0</v>
      </c>
      <c r="C215">
        <v>52.32</v>
      </c>
      <c r="D215">
        <v>1.1299999999999999</v>
      </c>
      <c r="E215">
        <v>0.433</v>
      </c>
      <c r="F215" s="1">
        <v>2.7000000000000001E-3</v>
      </c>
      <c r="G215">
        <v>0.314</v>
      </c>
      <c r="H215">
        <v>0.85</v>
      </c>
      <c r="I215">
        <v>-13.09</v>
      </c>
      <c r="J215">
        <v>-4.6100000000000003</v>
      </c>
      <c r="K215">
        <v>6.59</v>
      </c>
      <c r="L215">
        <v>8.48</v>
      </c>
      <c r="M215" s="1">
        <v>-3.3000000000000002E-2</v>
      </c>
      <c r="N215" s="1">
        <v>8.3000000000000001E-3</v>
      </c>
      <c r="O215">
        <v>2.29</v>
      </c>
      <c r="P215" s="1">
        <v>-5.62E-2</v>
      </c>
      <c r="Q215" s="1">
        <v>2.1700000000000001E-2</v>
      </c>
      <c r="R215">
        <v>0</v>
      </c>
      <c r="S215" s="3">
        <v>8363840000</v>
      </c>
      <c r="T215">
        <v>0.37</v>
      </c>
      <c r="U215" s="1">
        <v>1.66E-2</v>
      </c>
      <c r="V215" s="4">
        <f t="shared" si="15"/>
        <v>2.2500000000000002E-4</v>
      </c>
      <c r="W215" s="5">
        <f t="shared" si="16"/>
        <v>0</v>
      </c>
      <c r="X215" t="e">
        <f t="shared" si="17"/>
        <v>#DIV/0!</v>
      </c>
      <c r="Y215" s="5" t="e">
        <f t="shared" si="18"/>
        <v>#DIV/0!</v>
      </c>
      <c r="Z215" s="5" t="e">
        <f t="shared" si="19"/>
        <v>#DIV/0!</v>
      </c>
    </row>
    <row r="216" spans="1:26" x14ac:dyDescent="0.3">
      <c r="A216" t="s">
        <v>1183</v>
      </c>
      <c r="B216" s="5">
        <f>VLOOKUP(A216,Dim!A:B,2)</f>
        <v>5.74</v>
      </c>
      <c r="C216">
        <v>7.09</v>
      </c>
      <c r="D216">
        <v>1.89</v>
      </c>
      <c r="E216">
        <v>0.188</v>
      </c>
      <c r="F216" s="1">
        <v>0.10249999999999999</v>
      </c>
      <c r="G216">
        <v>0.38</v>
      </c>
      <c r="H216">
        <v>2.83</v>
      </c>
      <c r="I216">
        <v>3.32</v>
      </c>
      <c r="J216">
        <v>-0.95</v>
      </c>
      <c r="K216">
        <v>6.77</v>
      </c>
      <c r="L216">
        <v>4.57</v>
      </c>
      <c r="M216" s="1">
        <v>5.67E-2</v>
      </c>
      <c r="N216" s="1">
        <v>2.9399999999999999E-2</v>
      </c>
      <c r="O216">
        <v>1.54</v>
      </c>
      <c r="P216" s="1">
        <v>0.1459</v>
      </c>
      <c r="Q216" s="1">
        <v>0.26619999999999999</v>
      </c>
      <c r="R216">
        <v>0</v>
      </c>
      <c r="S216" s="3">
        <v>45879800000</v>
      </c>
      <c r="T216">
        <v>2.3199999999999998</v>
      </c>
      <c r="U216" s="1">
        <v>8.5699999999999998E-2</v>
      </c>
      <c r="V216" s="4">
        <f t="shared" si="15"/>
        <v>8.5416666666666662E-3</v>
      </c>
      <c r="W216" s="5">
        <f t="shared" si="16"/>
        <v>4.9029166666666665E-2</v>
      </c>
      <c r="X216">
        <f t="shared" si="17"/>
        <v>119</v>
      </c>
      <c r="Y216" s="5">
        <f t="shared" si="18"/>
        <v>683.06000000000006</v>
      </c>
      <c r="Z216" s="5">
        <f t="shared" si="19"/>
        <v>5.8344708333333335</v>
      </c>
    </row>
    <row r="217" spans="1:26" x14ac:dyDescent="0.3">
      <c r="A217" t="s">
        <v>1184</v>
      </c>
      <c r="B217" s="5">
        <f>VLOOKUP(A217,Dim!A:B,2)</f>
        <v>29.49</v>
      </c>
      <c r="C217">
        <v>7.09</v>
      </c>
      <c r="D217">
        <v>1.75</v>
      </c>
      <c r="E217">
        <v>0</v>
      </c>
      <c r="F217" s="1">
        <v>7.1499999999999994E-2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 s="1">
        <v>0</v>
      </c>
      <c r="N217" s="1">
        <v>0</v>
      </c>
      <c r="O217">
        <v>0</v>
      </c>
      <c r="P217" s="1">
        <v>0</v>
      </c>
      <c r="Q217" s="1">
        <v>0.24709999999999999</v>
      </c>
      <c r="R217" s="3">
        <v>2816810</v>
      </c>
      <c r="S217" s="3">
        <v>1165010000</v>
      </c>
      <c r="T217">
        <v>0</v>
      </c>
      <c r="U217" s="1">
        <v>0.5756</v>
      </c>
      <c r="V217" s="4">
        <f t="shared" si="15"/>
        <v>5.9583333333333328E-3</v>
      </c>
      <c r="W217" s="5">
        <f t="shared" si="16"/>
        <v>0.17571124999999999</v>
      </c>
      <c r="X217">
        <f t="shared" si="17"/>
        <v>169</v>
      </c>
      <c r="Y217" s="5">
        <f t="shared" si="18"/>
        <v>4983.8099999999995</v>
      </c>
      <c r="Z217" s="5">
        <f t="shared" si="19"/>
        <v>29.695201249999997</v>
      </c>
    </row>
    <row r="218" spans="1:26" x14ac:dyDescent="0.3">
      <c r="A218" t="s">
        <v>1181</v>
      </c>
      <c r="B218" s="5">
        <f>VLOOKUP(A218,Dim!A:B,2)</f>
        <v>5.74</v>
      </c>
      <c r="C218">
        <v>7.02</v>
      </c>
      <c r="D218">
        <v>1.35</v>
      </c>
      <c r="E218">
        <v>1.1559999999999999</v>
      </c>
      <c r="F218" s="1">
        <v>4.6199999999999998E-2</v>
      </c>
      <c r="G218">
        <v>0.498</v>
      </c>
      <c r="H218">
        <v>1.63</v>
      </c>
      <c r="I218">
        <v>6.24</v>
      </c>
      <c r="J218">
        <v>-3.99</v>
      </c>
      <c r="K218">
        <v>6.74</v>
      </c>
      <c r="L218">
        <v>6.51</v>
      </c>
      <c r="M218" s="1">
        <v>0.18529999999999999</v>
      </c>
      <c r="N218" s="1">
        <v>0.16450000000000001</v>
      </c>
      <c r="O218">
        <v>2.54</v>
      </c>
      <c r="P218" s="1">
        <v>9.0899999999999995E-2</v>
      </c>
      <c r="Q218" s="1">
        <v>0.19220000000000001</v>
      </c>
      <c r="R218" s="3">
        <v>19838900</v>
      </c>
      <c r="S218" s="3">
        <v>1690840000</v>
      </c>
      <c r="T218">
        <v>0.28999999999999998</v>
      </c>
      <c r="U218" s="1">
        <v>0.30830000000000002</v>
      </c>
      <c r="V218" s="4">
        <f t="shared" si="15"/>
        <v>3.8499999999999997E-3</v>
      </c>
      <c r="W218" s="5">
        <f t="shared" si="16"/>
        <v>2.2099000000000001E-2</v>
      </c>
      <c r="X218">
        <f t="shared" si="17"/>
        <v>261</v>
      </c>
      <c r="Y218" s="5">
        <f t="shared" si="18"/>
        <v>1498.14</v>
      </c>
      <c r="Z218" s="5">
        <f t="shared" si="19"/>
        <v>5.7678390000000004</v>
      </c>
    </row>
    <row r="219" spans="1:26" x14ac:dyDescent="0.3">
      <c r="A219" t="s">
        <v>1179</v>
      </c>
      <c r="B219" s="5">
        <f>VLOOKUP(A219,Dim!A:B,2)</f>
        <v>5.74</v>
      </c>
      <c r="C219">
        <v>6.98</v>
      </c>
      <c r="D219">
        <v>2.71</v>
      </c>
      <c r="E219">
        <v>1.093</v>
      </c>
      <c r="F219" s="1">
        <v>0.1148</v>
      </c>
      <c r="G219">
        <v>0.70699999999999996</v>
      </c>
      <c r="H219">
        <v>-124.55</v>
      </c>
      <c r="I219">
        <v>4.46</v>
      </c>
      <c r="J219">
        <v>-1.68</v>
      </c>
      <c r="K219">
        <v>6.1</v>
      </c>
      <c r="L219">
        <v>5.15</v>
      </c>
      <c r="M219" s="1">
        <v>0.24510000000000001</v>
      </c>
      <c r="N219" s="1">
        <v>0.15659999999999999</v>
      </c>
      <c r="O219">
        <v>0.98</v>
      </c>
      <c r="P219" s="1">
        <v>0.19550000000000001</v>
      </c>
      <c r="Q219" s="1">
        <v>0.38850000000000001</v>
      </c>
      <c r="R219" s="3">
        <v>40786.300000000003</v>
      </c>
      <c r="S219" s="3">
        <v>4674070000</v>
      </c>
      <c r="T219">
        <v>1.46</v>
      </c>
      <c r="U219" s="1">
        <v>0.14000000000000001</v>
      </c>
      <c r="V219" s="4">
        <f t="shared" si="15"/>
        <v>9.566666666666666E-3</v>
      </c>
      <c r="W219" s="5">
        <f t="shared" si="16"/>
        <v>5.4912666666666665E-2</v>
      </c>
      <c r="X219">
        <f t="shared" si="17"/>
        <v>106</v>
      </c>
      <c r="Y219" s="5">
        <f t="shared" si="18"/>
        <v>608.44000000000005</v>
      </c>
      <c r="Z219" s="5">
        <f t="shared" si="19"/>
        <v>5.8207426666666668</v>
      </c>
    </row>
    <row r="220" spans="1:26" x14ac:dyDescent="0.3">
      <c r="A220" t="s">
        <v>1157</v>
      </c>
      <c r="B220" s="5">
        <f>VLOOKUP(A220,Dim!A:B,2)</f>
        <v>0</v>
      </c>
      <c r="C220">
        <v>6.47</v>
      </c>
      <c r="D220">
        <v>0.6</v>
      </c>
      <c r="E220">
        <v>0.48899999999999999</v>
      </c>
      <c r="F220" s="1">
        <v>3.3500000000000002E-2</v>
      </c>
      <c r="G220">
        <v>0.29899999999999999</v>
      </c>
      <c r="H220">
        <v>1.1499999999999999</v>
      </c>
      <c r="I220">
        <v>7.68</v>
      </c>
      <c r="J220">
        <v>4</v>
      </c>
      <c r="K220">
        <v>13.78</v>
      </c>
      <c r="L220">
        <v>9.52</v>
      </c>
      <c r="M220" s="1">
        <v>6.3600000000000004E-2</v>
      </c>
      <c r="N220" s="1">
        <v>7.5600000000000001E-2</v>
      </c>
      <c r="O220">
        <v>1.81</v>
      </c>
      <c r="P220" s="1">
        <v>4.4400000000000002E-2</v>
      </c>
      <c r="Q220" s="1">
        <v>9.2899999999999996E-2</v>
      </c>
      <c r="R220" s="3">
        <v>81550.899999999994</v>
      </c>
      <c r="S220" s="3">
        <v>1274570000</v>
      </c>
      <c r="T220">
        <v>0.63</v>
      </c>
      <c r="U220" s="1">
        <v>-0.1158</v>
      </c>
      <c r="V220" s="4">
        <f t="shared" si="15"/>
        <v>2.7916666666666667E-3</v>
      </c>
      <c r="W220" s="5">
        <f t="shared" si="16"/>
        <v>0</v>
      </c>
      <c r="X220" t="e">
        <f t="shared" si="17"/>
        <v>#DIV/0!</v>
      </c>
      <c r="Y220" s="5" t="e">
        <f t="shared" si="18"/>
        <v>#DIV/0!</v>
      </c>
      <c r="Z220" s="5" t="e">
        <f t="shared" si="19"/>
        <v>#DIV/0!</v>
      </c>
    </row>
    <row r="221" spans="1:26" x14ac:dyDescent="0.3">
      <c r="A221" t="s">
        <v>1218</v>
      </c>
      <c r="B221" s="5">
        <f>VLOOKUP(A221,Dim!A:B,2)</f>
        <v>0</v>
      </c>
      <c r="C221">
        <v>8.01</v>
      </c>
      <c r="D221">
        <v>0.62</v>
      </c>
      <c r="E221">
        <v>0.55200000000000005</v>
      </c>
      <c r="F221" s="1">
        <v>9.2299999999999993E-2</v>
      </c>
      <c r="G221">
        <v>0.29799999999999999</v>
      </c>
      <c r="H221">
        <v>0.96</v>
      </c>
      <c r="I221">
        <v>9.2899999999999991</v>
      </c>
      <c r="J221">
        <v>4</v>
      </c>
      <c r="K221">
        <v>15.92</v>
      </c>
      <c r="L221">
        <v>8.74</v>
      </c>
      <c r="M221" s="1">
        <v>5.9400000000000001E-2</v>
      </c>
      <c r="N221" s="1">
        <v>6.9099999999999995E-2</v>
      </c>
      <c r="O221">
        <v>2.0699999999999998</v>
      </c>
      <c r="P221" s="1">
        <v>3.7499999999999999E-2</v>
      </c>
      <c r="Q221" s="1">
        <v>7.7899999999999997E-2</v>
      </c>
      <c r="R221" s="3">
        <v>1085150</v>
      </c>
      <c r="S221" s="3">
        <v>1229150000</v>
      </c>
      <c r="T221">
        <v>0.66</v>
      </c>
      <c r="U221" s="1">
        <v>-1.2800000000000001E-2</v>
      </c>
      <c r="V221" s="4">
        <f t="shared" si="15"/>
        <v>7.6916666666666661E-3</v>
      </c>
      <c r="W221" s="5">
        <f t="shared" si="16"/>
        <v>0</v>
      </c>
      <c r="X221" t="e">
        <f t="shared" si="17"/>
        <v>#DIV/0!</v>
      </c>
      <c r="Y221" s="5" t="e">
        <f t="shared" si="18"/>
        <v>#DIV/0!</v>
      </c>
      <c r="Z221" s="5" t="e">
        <f t="shared" si="19"/>
        <v>#DIV/0!</v>
      </c>
    </row>
    <row r="222" spans="1:26" x14ac:dyDescent="0.3">
      <c r="A222" t="s">
        <v>1178</v>
      </c>
      <c r="B222" s="5">
        <f>VLOOKUP(A222,Dim!A:B,2)</f>
        <v>51.8</v>
      </c>
      <c r="C222">
        <v>6.95</v>
      </c>
      <c r="D222">
        <v>1.3</v>
      </c>
      <c r="E222">
        <v>0.67600000000000005</v>
      </c>
      <c r="F222" s="1">
        <v>5.6000000000000001E-2</v>
      </c>
      <c r="G222">
        <v>0.29899999999999999</v>
      </c>
      <c r="H222">
        <v>7.1</v>
      </c>
      <c r="I222">
        <v>3.6</v>
      </c>
      <c r="J222">
        <v>-0.61</v>
      </c>
      <c r="K222">
        <v>8.02</v>
      </c>
      <c r="L222">
        <v>6.16</v>
      </c>
      <c r="M222" s="1">
        <v>0.18759999999999999</v>
      </c>
      <c r="N222" s="1">
        <v>0.12429999999999999</v>
      </c>
      <c r="O222">
        <v>1.23</v>
      </c>
      <c r="P222" s="1">
        <v>9.69E-2</v>
      </c>
      <c r="Q222" s="1">
        <v>0.18740000000000001</v>
      </c>
      <c r="R222" s="3">
        <v>128520000</v>
      </c>
      <c r="S222" s="3">
        <v>18226900000</v>
      </c>
      <c r="T222">
        <v>2.0699999999999998</v>
      </c>
      <c r="U222" s="1">
        <v>0.10199999999999999</v>
      </c>
      <c r="V222" s="4">
        <f t="shared" si="15"/>
        <v>4.6666666666666671E-3</v>
      </c>
      <c r="W222" s="5">
        <f t="shared" si="16"/>
        <v>0.24173333333333333</v>
      </c>
      <c r="X222">
        <f t="shared" si="17"/>
        <v>216</v>
      </c>
      <c r="Y222" s="5">
        <f t="shared" si="18"/>
        <v>11188.8</v>
      </c>
      <c r="Z222" s="5">
        <f t="shared" si="19"/>
        <v>52.214399999999998</v>
      </c>
    </row>
    <row r="223" spans="1:26" x14ac:dyDescent="0.3">
      <c r="A223" t="s">
        <v>1177</v>
      </c>
      <c r="B223" s="5">
        <f>VLOOKUP(A223,Dim!A:B,2)</f>
        <v>5.74</v>
      </c>
      <c r="C223">
        <v>6.94</v>
      </c>
      <c r="D223">
        <v>0.66</v>
      </c>
      <c r="E223">
        <v>0.58799999999999997</v>
      </c>
      <c r="F223" s="1">
        <v>3.4500000000000003E-2</v>
      </c>
      <c r="G223">
        <v>0.378</v>
      </c>
      <c r="H223">
        <v>1.94</v>
      </c>
      <c r="I223">
        <v>3.72</v>
      </c>
      <c r="J223">
        <v>-6.78</v>
      </c>
      <c r="K223">
        <v>4.8499999999999996</v>
      </c>
      <c r="L223">
        <v>3.25</v>
      </c>
      <c r="M223" s="1">
        <v>0.15809999999999999</v>
      </c>
      <c r="N223" s="1">
        <v>8.4699999999999998E-2</v>
      </c>
      <c r="O223">
        <v>2.11</v>
      </c>
      <c r="P223" s="1">
        <v>0.11749999999999999</v>
      </c>
      <c r="Q223" s="1">
        <v>9.4899999999999998E-2</v>
      </c>
      <c r="R223" s="3">
        <v>9158.7199999999993</v>
      </c>
      <c r="S223" s="3">
        <v>2727990000</v>
      </c>
      <c r="T223">
        <v>0.34</v>
      </c>
      <c r="U223" s="1">
        <v>7.8100000000000003E-2</v>
      </c>
      <c r="V223" s="4">
        <f t="shared" si="15"/>
        <v>2.8750000000000004E-3</v>
      </c>
      <c r="W223" s="5">
        <f t="shared" si="16"/>
        <v>1.6502500000000003E-2</v>
      </c>
      <c r="X223">
        <f t="shared" si="17"/>
        <v>349</v>
      </c>
      <c r="Y223" s="5">
        <f t="shared" si="18"/>
        <v>2003.26</v>
      </c>
      <c r="Z223" s="5">
        <f t="shared" si="19"/>
        <v>5.7593725000000013</v>
      </c>
    </row>
    <row r="224" spans="1:26" x14ac:dyDescent="0.3">
      <c r="A224" t="s">
        <v>1176</v>
      </c>
      <c r="B224" s="5">
        <f>VLOOKUP(A224,Dim!A:B,2)</f>
        <v>5.74</v>
      </c>
      <c r="C224">
        <v>6.92</v>
      </c>
      <c r="D224">
        <v>1.82</v>
      </c>
      <c r="E224">
        <v>1.597</v>
      </c>
      <c r="F224" s="1">
        <v>7.46E-2</v>
      </c>
      <c r="G224">
        <v>0.745</v>
      </c>
      <c r="H224">
        <v>1.36</v>
      </c>
      <c r="I224">
        <v>6.94</v>
      </c>
      <c r="J224">
        <v>3.47</v>
      </c>
      <c r="K224">
        <v>7.08</v>
      </c>
      <c r="L224">
        <v>7.06</v>
      </c>
      <c r="M224" s="1">
        <v>0.23019999999999999</v>
      </c>
      <c r="N224" s="1">
        <v>0.26569999999999999</v>
      </c>
      <c r="O224">
        <v>3.84</v>
      </c>
      <c r="P224" s="1">
        <v>0.13780000000000001</v>
      </c>
      <c r="Q224" s="1">
        <v>0.26350000000000001</v>
      </c>
      <c r="R224" s="3">
        <v>9019980</v>
      </c>
      <c r="S224" s="3">
        <v>1563360000</v>
      </c>
      <c r="T224">
        <v>0.54</v>
      </c>
      <c r="U224" s="1">
        <v>0.32140000000000002</v>
      </c>
      <c r="V224" s="4">
        <f t="shared" si="15"/>
        <v>6.2166666666666663E-3</v>
      </c>
      <c r="W224" s="5">
        <f t="shared" si="16"/>
        <v>3.5683666666666669E-2</v>
      </c>
      <c r="X224">
        <f t="shared" si="17"/>
        <v>162</v>
      </c>
      <c r="Y224" s="5">
        <f t="shared" si="18"/>
        <v>929.88</v>
      </c>
      <c r="Z224" s="5">
        <f t="shared" si="19"/>
        <v>5.7807539999999999</v>
      </c>
    </row>
    <row r="225" spans="1:26" x14ac:dyDescent="0.3">
      <c r="A225" t="s">
        <v>1175</v>
      </c>
      <c r="B225" s="5">
        <f>VLOOKUP(A225,Dim!A:B,2)</f>
        <v>5.74</v>
      </c>
      <c r="C225">
        <v>6.9</v>
      </c>
      <c r="D225">
        <v>0.82</v>
      </c>
      <c r="E225">
        <v>0.94799999999999995</v>
      </c>
      <c r="F225" s="1">
        <v>5.4399999999999997E-2</v>
      </c>
      <c r="G225">
        <v>0.49</v>
      </c>
      <c r="H225">
        <v>3.64</v>
      </c>
      <c r="I225">
        <v>4.9000000000000004</v>
      </c>
      <c r="J225">
        <v>-4.1100000000000003</v>
      </c>
      <c r="K225">
        <v>3.15</v>
      </c>
      <c r="L225">
        <v>2.12</v>
      </c>
      <c r="M225" s="1">
        <v>0.19359999999999999</v>
      </c>
      <c r="N225" s="1">
        <v>0.18290000000000001</v>
      </c>
      <c r="O225">
        <v>1.83</v>
      </c>
      <c r="P225" s="1">
        <v>0.1234</v>
      </c>
      <c r="Q225" s="1">
        <v>0.1181</v>
      </c>
      <c r="R225" s="3">
        <v>190885</v>
      </c>
      <c r="S225" s="3">
        <v>242580000</v>
      </c>
      <c r="T225">
        <v>0</v>
      </c>
      <c r="U225" s="1">
        <v>-1.9900000000000001E-2</v>
      </c>
      <c r="V225" s="4">
        <f t="shared" si="15"/>
        <v>4.5333333333333328E-3</v>
      </c>
      <c r="W225" s="5">
        <f t="shared" si="16"/>
        <v>2.602133333333333E-2</v>
      </c>
      <c r="X225">
        <f t="shared" si="17"/>
        <v>222</v>
      </c>
      <c r="Y225" s="5">
        <f t="shared" si="18"/>
        <v>1274.28</v>
      </c>
      <c r="Z225" s="5">
        <f t="shared" si="19"/>
        <v>5.7767359999999996</v>
      </c>
    </row>
    <row r="226" spans="1:26" x14ac:dyDescent="0.3">
      <c r="A226" t="s">
        <v>1173</v>
      </c>
      <c r="B226" s="5">
        <f>VLOOKUP(A226,Dim!A:B,2)</f>
        <v>5.74</v>
      </c>
      <c r="C226">
        <v>6.83</v>
      </c>
      <c r="D226">
        <v>0.75</v>
      </c>
      <c r="E226">
        <v>0.66500000000000004</v>
      </c>
      <c r="F226" s="1">
        <v>0.3019</v>
      </c>
      <c r="G226">
        <v>0.309</v>
      </c>
      <c r="H226">
        <v>0.66</v>
      </c>
      <c r="I226">
        <v>5.6</v>
      </c>
      <c r="J226">
        <v>1.44</v>
      </c>
      <c r="K226">
        <v>5.88</v>
      </c>
      <c r="L226">
        <v>5.73</v>
      </c>
      <c r="M226" s="1">
        <v>0.1188</v>
      </c>
      <c r="N226" s="1">
        <v>0.15720000000000001</v>
      </c>
      <c r="O226">
        <v>2.65</v>
      </c>
      <c r="P226" s="1">
        <v>6.6900000000000001E-2</v>
      </c>
      <c r="Q226" s="1">
        <v>0.10979999999999999</v>
      </c>
      <c r="R226" s="3">
        <v>2735760</v>
      </c>
      <c r="S226" s="3">
        <v>1069820000</v>
      </c>
      <c r="T226">
        <v>0.41</v>
      </c>
      <c r="U226" s="1">
        <v>0.1578</v>
      </c>
      <c r="V226" s="4">
        <f t="shared" si="15"/>
        <v>2.5158333333333335E-2</v>
      </c>
      <c r="W226" s="5">
        <f t="shared" si="16"/>
        <v>0.14440883333333335</v>
      </c>
      <c r="X226">
        <f t="shared" si="17"/>
        <v>41</v>
      </c>
      <c r="Y226" s="5">
        <f t="shared" si="18"/>
        <v>235.34</v>
      </c>
      <c r="Z226" s="5">
        <f t="shared" si="19"/>
        <v>5.920762166666667</v>
      </c>
    </row>
    <row r="227" spans="1:26" x14ac:dyDescent="0.3">
      <c r="A227" t="s">
        <v>1172</v>
      </c>
      <c r="B227" s="5">
        <f>VLOOKUP(A227,Dim!A:B,2)</f>
        <v>29.95</v>
      </c>
      <c r="C227">
        <v>6.82</v>
      </c>
      <c r="D227">
        <v>1.18</v>
      </c>
      <c r="E227">
        <v>1.3380000000000001</v>
      </c>
      <c r="F227" s="1">
        <v>3.5700000000000003E-2</v>
      </c>
      <c r="G227">
        <v>0.49099999999999999</v>
      </c>
      <c r="H227">
        <v>1.24</v>
      </c>
      <c r="I227">
        <v>7.58</v>
      </c>
      <c r="J227">
        <v>16.72</v>
      </c>
      <c r="K227">
        <v>9.9700000000000006</v>
      </c>
      <c r="L227">
        <v>9.36</v>
      </c>
      <c r="M227" s="1">
        <v>0.17649999999999999</v>
      </c>
      <c r="N227" s="1">
        <v>0.1636</v>
      </c>
      <c r="O227">
        <v>3.36</v>
      </c>
      <c r="P227" s="1">
        <v>7.6399999999999996E-2</v>
      </c>
      <c r="Q227" s="1">
        <v>0.17219999999999999</v>
      </c>
      <c r="R227" s="3">
        <v>141451000</v>
      </c>
      <c r="S227" s="3">
        <v>9786080000</v>
      </c>
      <c r="T227">
        <v>0.7</v>
      </c>
      <c r="U227" s="1">
        <v>0.17610000000000001</v>
      </c>
      <c r="V227" s="4">
        <f t="shared" si="15"/>
        <v>2.9750000000000002E-3</v>
      </c>
      <c r="W227" s="5">
        <f t="shared" si="16"/>
        <v>8.9101250000000007E-2</v>
      </c>
      <c r="X227">
        <f t="shared" si="17"/>
        <v>338</v>
      </c>
      <c r="Y227" s="5">
        <f t="shared" si="18"/>
        <v>10123.1</v>
      </c>
      <c r="Z227" s="5">
        <f t="shared" si="19"/>
        <v>30.116222500000003</v>
      </c>
    </row>
    <row r="228" spans="1:26" x14ac:dyDescent="0.3">
      <c r="A228" t="s">
        <v>1156</v>
      </c>
      <c r="B228" s="5">
        <f>VLOOKUP(A228,Dim!A:B,2)</f>
        <v>0</v>
      </c>
      <c r="C228">
        <v>6.44</v>
      </c>
      <c r="D228">
        <v>0.73</v>
      </c>
      <c r="E228">
        <v>2.3559999999999999</v>
      </c>
      <c r="F228" s="1">
        <v>1.2654000000000001</v>
      </c>
      <c r="G228">
        <v>0.27600000000000002</v>
      </c>
      <c r="H228">
        <v>1.38</v>
      </c>
      <c r="I228">
        <v>7.07</v>
      </c>
      <c r="J228">
        <v>-4.3899999999999997</v>
      </c>
      <c r="K228">
        <v>4.82</v>
      </c>
      <c r="L228">
        <v>3.44</v>
      </c>
      <c r="M228" s="1">
        <v>0.33300000000000002</v>
      </c>
      <c r="N228" s="1">
        <v>0.38550000000000001</v>
      </c>
      <c r="O228">
        <v>3.39</v>
      </c>
      <c r="P228" s="1">
        <v>5.28E-2</v>
      </c>
      <c r="Q228" s="1">
        <v>0.1134</v>
      </c>
      <c r="R228" s="3">
        <v>7572770</v>
      </c>
      <c r="S228" s="3">
        <v>1038170000</v>
      </c>
      <c r="T228">
        <v>0.45</v>
      </c>
      <c r="U228" s="1">
        <v>-0.1268</v>
      </c>
      <c r="V228" s="4">
        <f t="shared" si="15"/>
        <v>0.10545</v>
      </c>
      <c r="W228" s="5">
        <f t="shared" si="16"/>
        <v>0</v>
      </c>
      <c r="X228" t="e">
        <f t="shared" si="17"/>
        <v>#DIV/0!</v>
      </c>
      <c r="Y228" s="5" t="e">
        <f t="shared" si="18"/>
        <v>#DIV/0!</v>
      </c>
      <c r="Z228" s="5" t="e">
        <f t="shared" si="19"/>
        <v>#DIV/0!</v>
      </c>
    </row>
    <row r="229" spans="1:26" x14ac:dyDescent="0.3">
      <c r="A229" t="s">
        <v>1170</v>
      </c>
      <c r="B229" s="5">
        <f>VLOOKUP(A229,Dim!A:B,2)</f>
        <v>106.55</v>
      </c>
      <c r="C229">
        <v>6.77</v>
      </c>
      <c r="D229">
        <v>1.06</v>
      </c>
      <c r="E229">
        <v>0.36299999999999999</v>
      </c>
      <c r="F229" s="1">
        <v>8.0699999999999994E-2</v>
      </c>
      <c r="G229">
        <v>0.316</v>
      </c>
      <c r="H229">
        <v>6.04</v>
      </c>
      <c r="I229">
        <v>3.81</v>
      </c>
      <c r="J229">
        <v>-0.75</v>
      </c>
      <c r="K229">
        <v>7.33</v>
      </c>
      <c r="L229">
        <v>5.48</v>
      </c>
      <c r="M229" s="1">
        <v>9.5299999999999996E-2</v>
      </c>
      <c r="N229" s="1">
        <v>5.3699999999999998E-2</v>
      </c>
      <c r="O229">
        <v>1.23</v>
      </c>
      <c r="P229" s="1">
        <v>9.2399999999999996E-2</v>
      </c>
      <c r="Q229" s="1">
        <v>0.15670000000000001</v>
      </c>
      <c r="R229" s="3">
        <v>661431</v>
      </c>
      <c r="S229" s="3">
        <v>3876460000</v>
      </c>
      <c r="T229">
        <v>1.08</v>
      </c>
      <c r="U229" s="1">
        <v>2.1299999999999999E-2</v>
      </c>
      <c r="V229" s="4">
        <f t="shared" si="15"/>
        <v>6.7249999999999992E-3</v>
      </c>
      <c r="W229" s="5">
        <f t="shared" si="16"/>
        <v>0.71654874999999985</v>
      </c>
      <c r="X229">
        <f t="shared" si="17"/>
        <v>150</v>
      </c>
      <c r="Y229" s="5">
        <f t="shared" si="18"/>
        <v>15982.5</v>
      </c>
      <c r="Z229" s="5">
        <f t="shared" si="19"/>
        <v>107.48231249999998</v>
      </c>
    </row>
    <row r="230" spans="1:26" x14ac:dyDescent="0.3">
      <c r="A230" t="s">
        <v>1129</v>
      </c>
      <c r="B230" s="5">
        <f>VLOOKUP(A230,Dim!A:B,2)</f>
        <v>0</v>
      </c>
      <c r="C230">
        <v>5.75</v>
      </c>
      <c r="D230">
        <v>0.53</v>
      </c>
      <c r="E230">
        <v>0.435</v>
      </c>
      <c r="F230" s="1">
        <v>3.7699999999999997E-2</v>
      </c>
      <c r="G230">
        <v>0.26600000000000001</v>
      </c>
      <c r="H230">
        <v>1.03</v>
      </c>
      <c r="I230">
        <v>6.83</v>
      </c>
      <c r="J230">
        <v>3.55</v>
      </c>
      <c r="K230">
        <v>12.93</v>
      </c>
      <c r="L230">
        <v>8.93</v>
      </c>
      <c r="M230" s="1">
        <v>6.3600000000000004E-2</v>
      </c>
      <c r="N230" s="1">
        <v>7.5600000000000001E-2</v>
      </c>
      <c r="O230">
        <v>1.81</v>
      </c>
      <c r="P230" s="1">
        <v>4.4400000000000002E-2</v>
      </c>
      <c r="Q230" s="1">
        <v>9.2899999999999996E-2</v>
      </c>
      <c r="R230" s="3">
        <v>1698660</v>
      </c>
      <c r="S230" s="3">
        <v>1274570000</v>
      </c>
      <c r="T230">
        <v>0.63</v>
      </c>
      <c r="U230" s="1">
        <v>-0.1158</v>
      </c>
      <c r="V230" s="4">
        <f t="shared" si="15"/>
        <v>3.1416666666666663E-3</v>
      </c>
      <c r="W230" s="5">
        <f t="shared" si="16"/>
        <v>0</v>
      </c>
      <c r="X230" t="e">
        <f t="shared" si="17"/>
        <v>#DIV/0!</v>
      </c>
      <c r="Y230" s="5" t="e">
        <f t="shared" si="18"/>
        <v>#DIV/0!</v>
      </c>
      <c r="Z230" s="5" t="e">
        <f t="shared" si="19"/>
        <v>#DIV/0!</v>
      </c>
    </row>
    <row r="231" spans="1:26" x14ac:dyDescent="0.3">
      <c r="A231" t="s">
        <v>1169</v>
      </c>
      <c r="B231" s="5">
        <f>VLOOKUP(A231,Dim!A:B,2)</f>
        <v>58</v>
      </c>
      <c r="C231">
        <v>6.68</v>
      </c>
      <c r="D231">
        <v>2.87</v>
      </c>
      <c r="E231">
        <v>0</v>
      </c>
      <c r="F231" s="1">
        <v>2.1000000000000001E-2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 s="1">
        <v>0</v>
      </c>
      <c r="N231" s="1">
        <v>0</v>
      </c>
      <c r="O231">
        <v>0</v>
      </c>
      <c r="P231" s="1">
        <v>0</v>
      </c>
      <c r="Q231" s="1">
        <v>0.43020000000000003</v>
      </c>
      <c r="R231" s="3">
        <v>895026</v>
      </c>
      <c r="S231" s="3">
        <v>2068030000</v>
      </c>
      <c r="T231">
        <v>0</v>
      </c>
      <c r="U231" s="1">
        <v>0.21629999999999999</v>
      </c>
      <c r="V231" s="4">
        <f t="shared" si="15"/>
        <v>1.75E-3</v>
      </c>
      <c r="W231" s="5">
        <f t="shared" si="16"/>
        <v>0.10150000000000001</v>
      </c>
      <c r="X231">
        <f t="shared" si="17"/>
        <v>573</v>
      </c>
      <c r="Y231" s="5">
        <f t="shared" si="18"/>
        <v>33234</v>
      </c>
      <c r="Z231" s="5">
        <f t="shared" si="19"/>
        <v>58.159500000000001</v>
      </c>
    </row>
    <row r="232" spans="1:26" x14ac:dyDescent="0.3">
      <c r="A232" t="s">
        <v>1168</v>
      </c>
      <c r="B232" s="5">
        <f>VLOOKUP(A232,Dim!A:B,2)</f>
        <v>22.54</v>
      </c>
      <c r="C232">
        <v>6.66</v>
      </c>
      <c r="D232">
        <v>0.69</v>
      </c>
      <c r="E232">
        <v>0</v>
      </c>
      <c r="F232" s="1">
        <v>8.4699999999999998E-2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 s="1">
        <v>0</v>
      </c>
      <c r="N232" s="1">
        <v>0</v>
      </c>
      <c r="O232">
        <v>0</v>
      </c>
      <c r="P232" s="1">
        <v>0</v>
      </c>
      <c r="Q232" s="1">
        <v>0.1033</v>
      </c>
      <c r="R232">
        <v>78.260000000000005</v>
      </c>
      <c r="S232" s="3">
        <v>10645700000</v>
      </c>
      <c r="T232">
        <v>0</v>
      </c>
      <c r="U232" s="1">
        <v>4.6399999999999997E-2</v>
      </c>
      <c r="V232" s="4">
        <f t="shared" si="15"/>
        <v>7.0583333333333331E-3</v>
      </c>
      <c r="W232" s="5">
        <f t="shared" si="16"/>
        <v>0.15909483333333332</v>
      </c>
      <c r="X232">
        <f t="shared" si="17"/>
        <v>143</v>
      </c>
      <c r="Y232" s="5">
        <f t="shared" si="18"/>
        <v>3223.22</v>
      </c>
      <c r="Z232" s="5">
        <f t="shared" si="19"/>
        <v>22.750561166666664</v>
      </c>
    </row>
    <row r="233" spans="1:26" x14ac:dyDescent="0.3">
      <c r="A233" t="s">
        <v>1070</v>
      </c>
      <c r="B233" s="5">
        <f>VLOOKUP(A233,Dim!A:B,2)</f>
        <v>0</v>
      </c>
      <c r="C233">
        <v>3.78</v>
      </c>
      <c r="D233">
        <v>0.55000000000000004</v>
      </c>
      <c r="E233">
        <v>0.67700000000000005</v>
      </c>
      <c r="F233" s="1">
        <v>1.9E-3</v>
      </c>
      <c r="G233">
        <v>0.252</v>
      </c>
      <c r="H233">
        <v>2.5299999999999998</v>
      </c>
      <c r="I233">
        <v>1.93</v>
      </c>
      <c r="J233">
        <v>-0.66</v>
      </c>
      <c r="K233">
        <v>4.25</v>
      </c>
      <c r="L233">
        <v>3.32</v>
      </c>
      <c r="M233" s="1">
        <v>0.35010000000000002</v>
      </c>
      <c r="N233" s="1">
        <v>0.1789</v>
      </c>
      <c r="O233">
        <v>2.66</v>
      </c>
      <c r="P233" s="1">
        <v>0.14729999999999999</v>
      </c>
      <c r="Q233" s="1">
        <v>0.14460000000000001</v>
      </c>
      <c r="R233" s="3">
        <v>4605300</v>
      </c>
      <c r="S233" s="3">
        <v>2736280000</v>
      </c>
      <c r="T233">
        <v>0.86</v>
      </c>
      <c r="U233" s="1">
        <v>0.1096</v>
      </c>
      <c r="V233" s="4">
        <f t="shared" si="15"/>
        <v>1.5833333333333332E-4</v>
      </c>
      <c r="W233" s="5">
        <f t="shared" si="16"/>
        <v>0</v>
      </c>
      <c r="X233" t="e">
        <f t="shared" si="17"/>
        <v>#DIV/0!</v>
      </c>
      <c r="Y233" s="5" t="e">
        <f t="shared" si="18"/>
        <v>#DIV/0!</v>
      </c>
      <c r="Z233" s="5" t="e">
        <f t="shared" si="19"/>
        <v>#DIV/0!</v>
      </c>
    </row>
    <row r="234" spans="1:26" x14ac:dyDescent="0.3">
      <c r="A234" t="s">
        <v>1167</v>
      </c>
      <c r="B234" s="5">
        <f>VLOOKUP(A234,Dim!A:B,2)</f>
        <v>5.74</v>
      </c>
      <c r="C234">
        <v>6.65</v>
      </c>
      <c r="D234">
        <v>0.38</v>
      </c>
      <c r="E234">
        <v>0.33500000000000002</v>
      </c>
      <c r="F234" s="1">
        <v>0.1414</v>
      </c>
      <c r="G234">
        <v>0.16500000000000001</v>
      </c>
      <c r="H234">
        <v>0.35</v>
      </c>
      <c r="I234">
        <v>4.0199999999999996</v>
      </c>
      <c r="J234">
        <v>0.61</v>
      </c>
      <c r="K234">
        <v>9.11</v>
      </c>
      <c r="L234">
        <v>7.07</v>
      </c>
      <c r="M234" s="1">
        <v>8.3400000000000002E-2</v>
      </c>
      <c r="N234" s="1">
        <v>7.0400000000000004E-2</v>
      </c>
      <c r="O234">
        <v>2.35</v>
      </c>
      <c r="P234" s="1">
        <v>4.6100000000000002E-2</v>
      </c>
      <c r="Q234" s="1">
        <v>5.79E-2</v>
      </c>
      <c r="R234" s="3">
        <v>2089740</v>
      </c>
      <c r="S234" s="3">
        <v>992548000</v>
      </c>
      <c r="T234">
        <v>0.67</v>
      </c>
      <c r="U234" s="1">
        <v>0.2198</v>
      </c>
      <c r="V234" s="4">
        <f t="shared" si="15"/>
        <v>1.1783333333333333E-2</v>
      </c>
      <c r="W234" s="5">
        <f t="shared" si="16"/>
        <v>6.763633333333334E-2</v>
      </c>
      <c r="X234">
        <f t="shared" si="17"/>
        <v>86</v>
      </c>
      <c r="Y234" s="5">
        <f t="shared" si="18"/>
        <v>493.64000000000004</v>
      </c>
      <c r="Z234" s="5">
        <f t="shared" si="19"/>
        <v>5.8167246666666674</v>
      </c>
    </row>
    <row r="235" spans="1:26" x14ac:dyDescent="0.3">
      <c r="A235" t="s">
        <v>1164</v>
      </c>
      <c r="B235" s="5">
        <f>VLOOKUP(A235,Dim!A:B,2)</f>
        <v>22.54</v>
      </c>
      <c r="C235">
        <v>6.59</v>
      </c>
      <c r="D235">
        <v>0.81</v>
      </c>
      <c r="E235">
        <v>0</v>
      </c>
      <c r="F235" s="1">
        <v>0.1118</v>
      </c>
      <c r="G235">
        <v>0.80900000000000005</v>
      </c>
      <c r="H235">
        <v>28.62</v>
      </c>
      <c r="I235">
        <v>-217.71</v>
      </c>
      <c r="J235">
        <v>29.12</v>
      </c>
      <c r="K235">
        <v>-208.74</v>
      </c>
      <c r="L235">
        <v>-208.74</v>
      </c>
      <c r="M235" s="1">
        <v>0</v>
      </c>
      <c r="N235" s="1">
        <v>0</v>
      </c>
      <c r="O235">
        <v>6.5</v>
      </c>
      <c r="P235" s="1">
        <v>-3.8E-3</v>
      </c>
      <c r="Q235" s="1">
        <v>0.1234</v>
      </c>
      <c r="R235" s="3">
        <v>36812100</v>
      </c>
      <c r="S235" s="3">
        <v>8768450000</v>
      </c>
      <c r="T235">
        <v>0</v>
      </c>
      <c r="U235" s="1">
        <v>0</v>
      </c>
      <c r="V235" s="4">
        <f t="shared" si="15"/>
        <v>9.3166666666666658E-3</v>
      </c>
      <c r="W235" s="5">
        <f t="shared" si="16"/>
        <v>0.20999766666666664</v>
      </c>
      <c r="X235">
        <f t="shared" si="17"/>
        <v>109</v>
      </c>
      <c r="Y235" s="5">
        <f t="shared" si="18"/>
        <v>2456.86</v>
      </c>
      <c r="Z235" s="5">
        <f t="shared" si="19"/>
        <v>22.889745666666663</v>
      </c>
    </row>
    <row r="236" spans="1:26" x14ac:dyDescent="0.3">
      <c r="A236" t="s">
        <v>1267</v>
      </c>
      <c r="B236" s="5">
        <f>VLOOKUP(A236,Dim!A:B,2)</f>
        <v>0</v>
      </c>
      <c r="C236">
        <v>9.2799999999999994</v>
      </c>
      <c r="D236">
        <v>0.69</v>
      </c>
      <c r="E236">
        <v>0.64600000000000002</v>
      </c>
      <c r="F236" s="1">
        <v>6.3399999999999998E-2</v>
      </c>
      <c r="G236">
        <v>0.217</v>
      </c>
      <c r="H236">
        <v>1.2</v>
      </c>
      <c r="I236">
        <v>4.3600000000000003</v>
      </c>
      <c r="J236">
        <v>-0.56999999999999995</v>
      </c>
      <c r="K236">
        <v>11.25</v>
      </c>
      <c r="L236">
        <v>3.4</v>
      </c>
      <c r="M236" s="1">
        <v>0.1482</v>
      </c>
      <c r="N236" s="1">
        <v>6.9599999999999995E-2</v>
      </c>
      <c r="O236">
        <v>2.5</v>
      </c>
      <c r="P236" s="1">
        <v>5.9299999999999999E-2</v>
      </c>
      <c r="Q236" s="1">
        <v>7.3999999999999996E-2</v>
      </c>
      <c r="R236" s="3">
        <v>32075000</v>
      </c>
      <c r="S236" s="3">
        <v>6934320000</v>
      </c>
      <c r="T236">
        <v>1.49</v>
      </c>
      <c r="U236" s="1">
        <v>0.1181</v>
      </c>
      <c r="V236" s="4">
        <f t="shared" si="15"/>
        <v>5.2833333333333335E-3</v>
      </c>
      <c r="W236" s="5">
        <f t="shared" si="16"/>
        <v>0</v>
      </c>
      <c r="X236" t="e">
        <f t="shared" si="17"/>
        <v>#DIV/0!</v>
      </c>
      <c r="Y236" s="5" t="e">
        <f t="shared" si="18"/>
        <v>#DIV/0!</v>
      </c>
      <c r="Z236" s="5" t="e">
        <f t="shared" si="19"/>
        <v>#DIV/0!</v>
      </c>
    </row>
    <row r="237" spans="1:26" x14ac:dyDescent="0.3">
      <c r="A237" t="s">
        <v>641</v>
      </c>
      <c r="B237" s="5">
        <f>VLOOKUP(A237,Dim!A:B,2)</f>
        <v>0</v>
      </c>
      <c r="C237">
        <v>-64.819999999999993</v>
      </c>
      <c r="D237">
        <v>0.42</v>
      </c>
      <c r="E237">
        <v>0.33900000000000002</v>
      </c>
      <c r="F237" s="1">
        <v>0.15390000000000001</v>
      </c>
      <c r="G237">
        <v>0.20599999999999999</v>
      </c>
      <c r="H237">
        <v>4.28</v>
      </c>
      <c r="I237">
        <v>-7.04</v>
      </c>
      <c r="J237">
        <v>-0.88</v>
      </c>
      <c r="K237">
        <v>-13.67</v>
      </c>
      <c r="L237">
        <v>24.5</v>
      </c>
      <c r="M237" s="1">
        <v>-4.82E-2</v>
      </c>
      <c r="N237" s="1">
        <v>-5.1999999999999998E-3</v>
      </c>
      <c r="O237">
        <v>1.21</v>
      </c>
      <c r="P237" s="1">
        <v>-3.3700000000000001E-2</v>
      </c>
      <c r="Q237" s="1">
        <v>-6.4999999999999997E-3</v>
      </c>
      <c r="R237" s="3">
        <v>69143.199999999997</v>
      </c>
      <c r="S237" s="3">
        <v>184099000</v>
      </c>
      <c r="T237">
        <v>0.61</v>
      </c>
      <c r="U237" s="1">
        <v>3.3500000000000002E-2</v>
      </c>
      <c r="V237" s="4">
        <f t="shared" si="15"/>
        <v>1.2825000000000001E-2</v>
      </c>
      <c r="W237" s="5">
        <f t="shared" si="16"/>
        <v>0</v>
      </c>
      <c r="X237" t="e">
        <f t="shared" si="17"/>
        <v>#DIV/0!</v>
      </c>
      <c r="Y237" s="5" t="e">
        <f t="shared" si="18"/>
        <v>#DIV/0!</v>
      </c>
      <c r="Z237" s="5" t="e">
        <f t="shared" si="19"/>
        <v>#DIV/0!</v>
      </c>
    </row>
    <row r="238" spans="1:26" x14ac:dyDescent="0.3">
      <c r="A238" t="s">
        <v>1160</v>
      </c>
      <c r="B238" s="5">
        <f>VLOOKUP(A238,Dim!A:B,2)</f>
        <v>58</v>
      </c>
      <c r="C238">
        <v>6.55</v>
      </c>
      <c r="D238">
        <v>1.03</v>
      </c>
      <c r="E238">
        <v>0.85299999999999998</v>
      </c>
      <c r="F238" s="1">
        <v>0.12039999999999999</v>
      </c>
      <c r="G238">
        <v>0.64800000000000002</v>
      </c>
      <c r="H238">
        <v>1.25</v>
      </c>
      <c r="I238">
        <v>4.75</v>
      </c>
      <c r="J238">
        <v>1.79</v>
      </c>
      <c r="K238">
        <v>3.19</v>
      </c>
      <c r="L238">
        <v>2.82</v>
      </c>
      <c r="M238" s="1">
        <v>0.1794</v>
      </c>
      <c r="N238" s="1">
        <v>0.13469999999999999</v>
      </c>
      <c r="O238">
        <v>3.46</v>
      </c>
      <c r="P238" s="1">
        <v>0.20269999999999999</v>
      </c>
      <c r="Q238" s="1">
        <v>0.15659999999999999</v>
      </c>
      <c r="R238" s="3">
        <v>39424.5</v>
      </c>
      <c r="S238" s="3">
        <v>181541000</v>
      </c>
      <c r="T238">
        <v>0.12</v>
      </c>
      <c r="U238" s="1">
        <v>0.1027</v>
      </c>
      <c r="V238" s="4">
        <f t="shared" si="15"/>
        <v>1.0033333333333333E-2</v>
      </c>
      <c r="W238" s="5">
        <f t="shared" si="16"/>
        <v>0.5819333333333333</v>
      </c>
      <c r="X238">
        <f t="shared" si="17"/>
        <v>101</v>
      </c>
      <c r="Y238" s="5">
        <f t="shared" si="18"/>
        <v>5858</v>
      </c>
      <c r="Z238" s="5">
        <f t="shared" si="19"/>
        <v>58.775266666666667</v>
      </c>
    </row>
    <row r="239" spans="1:26" x14ac:dyDescent="0.3">
      <c r="A239" t="s">
        <v>1161</v>
      </c>
      <c r="B239" s="5">
        <f>VLOOKUP(A239,Dim!A:B,2)</f>
        <v>58</v>
      </c>
      <c r="C239">
        <v>6.55</v>
      </c>
      <c r="D239">
        <v>1.1599999999999999</v>
      </c>
      <c r="E239">
        <v>0</v>
      </c>
      <c r="F239" s="1">
        <v>5.96E-2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 s="1">
        <v>0</v>
      </c>
      <c r="N239" s="1">
        <v>0</v>
      </c>
      <c r="O239">
        <v>0</v>
      </c>
      <c r="P239" s="1">
        <v>0</v>
      </c>
      <c r="Q239" s="1">
        <v>0.17760000000000001</v>
      </c>
      <c r="R239" s="3">
        <v>35265.4</v>
      </c>
      <c r="S239" s="3">
        <v>2352610000</v>
      </c>
      <c r="T239">
        <v>0</v>
      </c>
      <c r="U239" s="1">
        <v>0.12559999999999999</v>
      </c>
      <c r="V239" s="4">
        <f t="shared" si="15"/>
        <v>4.966666666666667E-3</v>
      </c>
      <c r="W239" s="5">
        <f t="shared" si="16"/>
        <v>0.28806666666666669</v>
      </c>
      <c r="X239">
        <f t="shared" si="17"/>
        <v>203</v>
      </c>
      <c r="Y239" s="5">
        <f t="shared" si="18"/>
        <v>11774</v>
      </c>
      <c r="Z239" s="5">
        <f t="shared" si="19"/>
        <v>58.477533333333341</v>
      </c>
    </row>
    <row r="240" spans="1:26" x14ac:dyDescent="0.3">
      <c r="A240" t="s">
        <v>1162</v>
      </c>
      <c r="B240" s="5">
        <f>VLOOKUP(A240,Dim!A:B,2)</f>
        <v>58</v>
      </c>
      <c r="C240">
        <v>6.55</v>
      </c>
      <c r="D240">
        <v>1.1599999999999999</v>
      </c>
      <c r="E240">
        <v>0</v>
      </c>
      <c r="F240" s="1">
        <v>5.96E-2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 s="1">
        <v>0</v>
      </c>
      <c r="N240" s="1">
        <v>0</v>
      </c>
      <c r="O240">
        <v>0</v>
      </c>
      <c r="P240" s="1">
        <v>0</v>
      </c>
      <c r="Q240" s="1">
        <v>0.17760000000000001</v>
      </c>
      <c r="R240" s="3">
        <v>132679</v>
      </c>
      <c r="S240" s="3">
        <v>2352610000</v>
      </c>
      <c r="T240">
        <v>0</v>
      </c>
      <c r="U240" s="1">
        <v>0.12559999999999999</v>
      </c>
      <c r="V240" s="4">
        <f t="shared" si="15"/>
        <v>4.966666666666667E-3</v>
      </c>
      <c r="W240" s="5">
        <f t="shared" si="16"/>
        <v>0.28806666666666669</v>
      </c>
      <c r="X240">
        <f t="shared" si="17"/>
        <v>203</v>
      </c>
      <c r="Y240" s="5">
        <f t="shared" si="18"/>
        <v>11774</v>
      </c>
      <c r="Z240" s="5">
        <f t="shared" si="19"/>
        <v>58.477533333333341</v>
      </c>
    </row>
    <row r="241" spans="1:26" x14ac:dyDescent="0.3">
      <c r="A241" t="s">
        <v>1155</v>
      </c>
      <c r="B241" s="5">
        <f>VLOOKUP(A241,Dim!A:B,2)</f>
        <v>9.24</v>
      </c>
      <c r="C241">
        <v>6.43</v>
      </c>
      <c r="D241">
        <v>1.1299999999999999</v>
      </c>
      <c r="E241">
        <v>0</v>
      </c>
      <c r="F241" s="1">
        <v>0.44109999999999999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 s="1">
        <v>0</v>
      </c>
      <c r="N241" s="1">
        <v>0</v>
      </c>
      <c r="O241">
        <v>0</v>
      </c>
      <c r="P241" s="1">
        <v>0</v>
      </c>
      <c r="Q241" s="1">
        <v>0.17519999999999999</v>
      </c>
      <c r="R241" s="3">
        <v>55184.3</v>
      </c>
      <c r="S241" s="3">
        <v>3984960000</v>
      </c>
      <c r="T241">
        <v>0</v>
      </c>
      <c r="U241" s="1">
        <v>0.1764</v>
      </c>
      <c r="V241" s="4">
        <f t="shared" si="15"/>
        <v>3.675833333333333E-2</v>
      </c>
      <c r="W241" s="5">
        <f t="shared" si="16"/>
        <v>0.33964699999999998</v>
      </c>
      <c r="X241">
        <f t="shared" si="17"/>
        <v>29</v>
      </c>
      <c r="Y241" s="5">
        <f t="shared" si="18"/>
        <v>267.95999999999998</v>
      </c>
      <c r="Z241" s="5">
        <f t="shared" si="19"/>
        <v>9.8497629999999994</v>
      </c>
    </row>
    <row r="242" spans="1:26" x14ac:dyDescent="0.3">
      <c r="A242" t="s">
        <v>1150</v>
      </c>
      <c r="B242" s="5">
        <f>VLOOKUP(A242,Dim!A:B,2)</f>
        <v>51.8</v>
      </c>
      <c r="C242">
        <v>6.29</v>
      </c>
      <c r="D242">
        <v>1.18</v>
      </c>
      <c r="E242">
        <v>0.61199999999999999</v>
      </c>
      <c r="F242" s="1">
        <v>6.1800000000000001E-2</v>
      </c>
      <c r="G242">
        <v>0.27</v>
      </c>
      <c r="H242">
        <v>6.43</v>
      </c>
      <c r="I242">
        <v>3.26</v>
      </c>
      <c r="J242">
        <v>-0.56000000000000005</v>
      </c>
      <c r="K242">
        <v>7.68</v>
      </c>
      <c r="L242">
        <v>5.89</v>
      </c>
      <c r="M242" s="1">
        <v>0.18759999999999999</v>
      </c>
      <c r="N242" s="1">
        <v>0.12429999999999999</v>
      </c>
      <c r="O242">
        <v>1.23</v>
      </c>
      <c r="P242" s="1">
        <v>9.69E-2</v>
      </c>
      <c r="Q242" s="1">
        <v>0.18740000000000001</v>
      </c>
      <c r="R242" s="3">
        <v>64112.7</v>
      </c>
      <c r="S242" s="3">
        <v>18226900000</v>
      </c>
      <c r="T242">
        <v>2.0699999999999998</v>
      </c>
      <c r="U242" s="1">
        <v>0.10199999999999999</v>
      </c>
      <c r="V242" s="4">
        <f t="shared" si="15"/>
        <v>5.1500000000000001E-3</v>
      </c>
      <c r="W242" s="5">
        <f t="shared" si="16"/>
        <v>0.26677000000000001</v>
      </c>
      <c r="X242">
        <f t="shared" si="17"/>
        <v>196</v>
      </c>
      <c r="Y242" s="5">
        <f t="shared" si="18"/>
        <v>10152.799999999999</v>
      </c>
      <c r="Z242" s="5">
        <f t="shared" si="19"/>
        <v>52.286920000000002</v>
      </c>
    </row>
    <row r="243" spans="1:26" x14ac:dyDescent="0.3">
      <c r="A243" t="s">
        <v>1147</v>
      </c>
      <c r="B243" s="5">
        <f>VLOOKUP(A243,Dim!A:B,2)</f>
        <v>106.55</v>
      </c>
      <c r="C243">
        <v>6.25</v>
      </c>
      <c r="D243">
        <v>1.43</v>
      </c>
      <c r="E243">
        <v>0.96899999999999997</v>
      </c>
      <c r="F243" s="1">
        <v>5.8400000000000001E-2</v>
      </c>
      <c r="G243">
        <v>0.64100000000000001</v>
      </c>
      <c r="H243">
        <v>-667.89</v>
      </c>
      <c r="I243">
        <v>6.05</v>
      </c>
      <c r="J243">
        <v>-1.91</v>
      </c>
      <c r="K243">
        <v>7.87</v>
      </c>
      <c r="L243">
        <v>6.48</v>
      </c>
      <c r="M243" s="1">
        <v>0.1603</v>
      </c>
      <c r="N243" s="1">
        <v>0.155</v>
      </c>
      <c r="O243">
        <v>1</v>
      </c>
      <c r="P243" s="1">
        <v>0.1173</v>
      </c>
      <c r="Q243" s="1">
        <v>0.22839999999999999</v>
      </c>
      <c r="R243" s="3">
        <v>2807820</v>
      </c>
      <c r="S243" s="3">
        <v>28473200000</v>
      </c>
      <c r="T243">
        <v>0.54</v>
      </c>
      <c r="U243" s="1">
        <v>9.4500000000000001E-2</v>
      </c>
      <c r="V243" s="4">
        <f t="shared" si="15"/>
        <v>4.8666666666666667E-3</v>
      </c>
      <c r="W243" s="5">
        <f t="shared" si="16"/>
        <v>0.51854333333333336</v>
      </c>
      <c r="X243">
        <f t="shared" si="17"/>
        <v>207</v>
      </c>
      <c r="Y243" s="5">
        <f t="shared" si="18"/>
        <v>22055.85</v>
      </c>
      <c r="Z243" s="5">
        <f t="shared" si="19"/>
        <v>107.33847</v>
      </c>
    </row>
    <row r="244" spans="1:26" x14ac:dyDescent="0.3">
      <c r="A244" t="s">
        <v>1143</v>
      </c>
      <c r="B244" s="5">
        <f>VLOOKUP(A244,Dim!A:B,2)</f>
        <v>56.68</v>
      </c>
      <c r="C244">
        <v>6.1</v>
      </c>
      <c r="D244">
        <v>0.96</v>
      </c>
      <c r="E244">
        <v>0.32700000000000001</v>
      </c>
      <c r="F244" s="1">
        <v>8.14E-2</v>
      </c>
      <c r="G244">
        <v>0.28499999999999998</v>
      </c>
      <c r="H244">
        <v>5.44</v>
      </c>
      <c r="I244">
        <v>3.43</v>
      </c>
      <c r="J244">
        <v>-0.68</v>
      </c>
      <c r="K244">
        <v>6.96</v>
      </c>
      <c r="L244">
        <v>5.2</v>
      </c>
      <c r="M244" s="1">
        <v>9.5299999999999996E-2</v>
      </c>
      <c r="N244" s="1">
        <v>5.3699999999999998E-2</v>
      </c>
      <c r="O244">
        <v>1.23</v>
      </c>
      <c r="P244" s="1">
        <v>9.2399999999999996E-2</v>
      </c>
      <c r="Q244" s="1">
        <v>0.15670000000000001</v>
      </c>
      <c r="R244" s="3">
        <v>12776.2</v>
      </c>
      <c r="S244" s="3">
        <v>3876460000</v>
      </c>
      <c r="T244">
        <v>1.08</v>
      </c>
      <c r="U244" s="1">
        <v>2.1299999999999999E-2</v>
      </c>
      <c r="V244" s="4">
        <f t="shared" si="15"/>
        <v>6.7833333333333331E-3</v>
      </c>
      <c r="W244" s="5">
        <f t="shared" si="16"/>
        <v>0.38447933333333334</v>
      </c>
      <c r="X244">
        <f t="shared" si="17"/>
        <v>149</v>
      </c>
      <c r="Y244" s="5">
        <f t="shared" si="18"/>
        <v>8445.32</v>
      </c>
      <c r="Z244" s="5">
        <f t="shared" si="19"/>
        <v>57.287420666666669</v>
      </c>
    </row>
    <row r="245" spans="1:26" x14ac:dyDescent="0.3">
      <c r="A245" t="s">
        <v>1140</v>
      </c>
      <c r="B245" s="5">
        <f>VLOOKUP(A245,Dim!A:B,2)</f>
        <v>5.74</v>
      </c>
      <c r="C245">
        <v>6.08</v>
      </c>
      <c r="D245">
        <v>0.39</v>
      </c>
      <c r="E245">
        <v>0.105</v>
      </c>
      <c r="F245" s="1">
        <v>4.6100000000000002E-2</v>
      </c>
      <c r="G245">
        <v>0.112</v>
      </c>
      <c r="H245">
        <v>0.6</v>
      </c>
      <c r="I245">
        <v>1.61</v>
      </c>
      <c r="J245">
        <v>-0.52</v>
      </c>
      <c r="K245">
        <v>5.37</v>
      </c>
      <c r="L245">
        <v>3.52</v>
      </c>
      <c r="M245" s="1">
        <v>6.5299999999999997E-2</v>
      </c>
      <c r="N245" s="1">
        <v>2.3400000000000001E-2</v>
      </c>
      <c r="O245">
        <v>1.68</v>
      </c>
      <c r="P245" s="1">
        <v>9.6299999999999997E-2</v>
      </c>
      <c r="Q245" s="1">
        <v>6.3700000000000007E-2</v>
      </c>
      <c r="R245" s="3">
        <v>14964400</v>
      </c>
      <c r="S245" s="3">
        <v>4317770000</v>
      </c>
      <c r="T245">
        <v>1.3</v>
      </c>
      <c r="U245" s="1">
        <v>5.5399999999999998E-2</v>
      </c>
      <c r="V245" s="4">
        <f t="shared" si="15"/>
        <v>3.8416666666666668E-3</v>
      </c>
      <c r="W245" s="5">
        <f t="shared" si="16"/>
        <v>2.2051166666666667E-2</v>
      </c>
      <c r="X245">
        <f t="shared" si="17"/>
        <v>262</v>
      </c>
      <c r="Y245" s="5">
        <f t="shared" si="18"/>
        <v>1503.88</v>
      </c>
      <c r="Z245" s="5">
        <f t="shared" si="19"/>
        <v>5.7774056666666667</v>
      </c>
    </row>
    <row r="246" spans="1:26" x14ac:dyDescent="0.3">
      <c r="A246" t="s">
        <v>1139</v>
      </c>
      <c r="B246" s="5">
        <f>VLOOKUP(A246,Dim!A:B,2)</f>
        <v>106.55</v>
      </c>
      <c r="C246">
        <v>6.07</v>
      </c>
      <c r="D246">
        <v>0.54</v>
      </c>
      <c r="E246">
        <v>1</v>
      </c>
      <c r="F246" s="1">
        <v>1.8599999999999998E-2</v>
      </c>
      <c r="G246">
        <v>0.28499999999999998</v>
      </c>
      <c r="H246">
        <v>4.55</v>
      </c>
      <c r="I246">
        <v>3.06</v>
      </c>
      <c r="J246">
        <v>-1.19</v>
      </c>
      <c r="K246">
        <v>5.53</v>
      </c>
      <c r="L246">
        <v>4.21</v>
      </c>
      <c r="M246" s="1">
        <v>0.32690000000000002</v>
      </c>
      <c r="N246" s="1">
        <v>0.18099999999999999</v>
      </c>
      <c r="O246">
        <v>1.53</v>
      </c>
      <c r="P246" s="1">
        <v>0.1017</v>
      </c>
      <c r="Q246" s="1">
        <v>8.8400000000000006E-2</v>
      </c>
      <c r="R246" s="3">
        <v>86055900</v>
      </c>
      <c r="S246" s="3">
        <v>12565400000</v>
      </c>
      <c r="T246">
        <v>0.51</v>
      </c>
      <c r="U246" s="1">
        <v>0.10680000000000001</v>
      </c>
      <c r="V246" s="4">
        <f t="shared" si="15"/>
        <v>1.5499999999999999E-3</v>
      </c>
      <c r="W246" s="5">
        <f t="shared" si="16"/>
        <v>0.16515249999999998</v>
      </c>
      <c r="X246">
        <f t="shared" si="17"/>
        <v>647</v>
      </c>
      <c r="Y246" s="5">
        <f t="shared" si="18"/>
        <v>68937.849999999991</v>
      </c>
      <c r="Z246" s="5">
        <f t="shared" si="19"/>
        <v>106.85366749999999</v>
      </c>
    </row>
    <row r="247" spans="1:26" x14ac:dyDescent="0.3">
      <c r="A247" t="s">
        <v>1138</v>
      </c>
      <c r="B247" s="5">
        <f>VLOOKUP(A247,Dim!A:B,2)</f>
        <v>22.54</v>
      </c>
      <c r="C247">
        <v>6.01</v>
      </c>
      <c r="D247">
        <v>0.74</v>
      </c>
      <c r="E247">
        <v>0</v>
      </c>
      <c r="F247" s="1">
        <v>0.1115</v>
      </c>
      <c r="G247">
        <v>0.73699999999999999</v>
      </c>
      <c r="H247">
        <v>26.08</v>
      </c>
      <c r="I247">
        <v>-198.4</v>
      </c>
      <c r="J247">
        <v>26.54</v>
      </c>
      <c r="K247">
        <v>-189.42</v>
      </c>
      <c r="L247">
        <v>-189.42</v>
      </c>
      <c r="M247" s="1">
        <v>0</v>
      </c>
      <c r="N247" s="1">
        <v>0</v>
      </c>
      <c r="O247">
        <v>6.5</v>
      </c>
      <c r="P247" s="1">
        <v>-3.8E-3</v>
      </c>
      <c r="Q247" s="1">
        <v>0.1234</v>
      </c>
      <c r="R247" s="3">
        <v>499639</v>
      </c>
      <c r="S247" s="3">
        <v>8768450000</v>
      </c>
      <c r="T247">
        <v>0</v>
      </c>
      <c r="U247" s="1">
        <v>0</v>
      </c>
      <c r="V247" s="4">
        <f t="shared" si="15"/>
        <v>9.2916666666666668E-3</v>
      </c>
      <c r="W247" s="5">
        <f t="shared" si="16"/>
        <v>0.20943416666666667</v>
      </c>
      <c r="X247">
        <f t="shared" si="17"/>
        <v>109</v>
      </c>
      <c r="Y247" s="5">
        <f t="shared" si="18"/>
        <v>2456.86</v>
      </c>
      <c r="Z247" s="5">
        <f t="shared" si="19"/>
        <v>22.828324166666668</v>
      </c>
    </row>
    <row r="248" spans="1:26" x14ac:dyDescent="0.3">
      <c r="A248" t="s">
        <v>1137</v>
      </c>
      <c r="B248" s="5">
        <f>VLOOKUP(A248,Dim!A:B,2)</f>
        <v>18.149999999999999</v>
      </c>
      <c r="C248">
        <v>5.97</v>
      </c>
      <c r="D248">
        <v>1.45</v>
      </c>
      <c r="E248">
        <v>0.67800000000000005</v>
      </c>
      <c r="F248" s="1">
        <v>4.3200000000000002E-2</v>
      </c>
      <c r="G248">
        <v>0.373</v>
      </c>
      <c r="H248">
        <v>-42.2</v>
      </c>
      <c r="I248">
        <v>2.75</v>
      </c>
      <c r="J248">
        <v>-0.66</v>
      </c>
      <c r="K248">
        <v>6.25</v>
      </c>
      <c r="L248">
        <v>5.08</v>
      </c>
      <c r="M248" s="1">
        <v>0.2462</v>
      </c>
      <c r="N248" s="1">
        <v>0.11360000000000001</v>
      </c>
      <c r="O248">
        <v>0.95</v>
      </c>
      <c r="P248" s="1">
        <v>0.14599999999999999</v>
      </c>
      <c r="Q248" s="1">
        <v>0.24329999999999999</v>
      </c>
      <c r="R248" s="3">
        <v>6719.49</v>
      </c>
      <c r="S248" s="3">
        <v>8568000000</v>
      </c>
      <c r="T248">
        <v>1.98</v>
      </c>
      <c r="U248" s="1">
        <v>6.2799999999999995E-2</v>
      </c>
      <c r="V248" s="4">
        <f t="shared" si="15"/>
        <v>3.6000000000000003E-3</v>
      </c>
      <c r="W248" s="5">
        <f t="shared" si="16"/>
        <v>6.5339999999999995E-2</v>
      </c>
      <c r="X248">
        <f t="shared" si="17"/>
        <v>279</v>
      </c>
      <c r="Y248" s="5">
        <f t="shared" si="18"/>
        <v>5063.8499999999995</v>
      </c>
      <c r="Z248" s="5">
        <f t="shared" si="19"/>
        <v>18.229859999999999</v>
      </c>
    </row>
    <row r="249" spans="1:26" x14ac:dyDescent="0.3">
      <c r="A249" t="s">
        <v>1136</v>
      </c>
      <c r="B249" s="5">
        <f>VLOOKUP(A249,Dim!A:B,2)</f>
        <v>18.149999999999999</v>
      </c>
      <c r="C249">
        <v>5.95</v>
      </c>
      <c r="D249">
        <v>1.04</v>
      </c>
      <c r="E249">
        <v>0</v>
      </c>
      <c r="F249" s="1">
        <v>0.52439999999999998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 s="1">
        <v>0</v>
      </c>
      <c r="N249" s="1">
        <v>0</v>
      </c>
      <c r="O249">
        <v>0</v>
      </c>
      <c r="P249" s="1">
        <v>0</v>
      </c>
      <c r="Q249" s="1">
        <v>0.17519999999999999</v>
      </c>
      <c r="R249" s="3">
        <v>43745.5</v>
      </c>
      <c r="S249" s="3">
        <v>3984960000</v>
      </c>
      <c r="T249">
        <v>0</v>
      </c>
      <c r="U249" s="1">
        <v>0.1764</v>
      </c>
      <c r="V249" s="4">
        <f t="shared" si="15"/>
        <v>4.3699999999999996E-2</v>
      </c>
      <c r="W249" s="5">
        <f t="shared" si="16"/>
        <v>0.79315499999999983</v>
      </c>
      <c r="X249">
        <f t="shared" si="17"/>
        <v>24</v>
      </c>
      <c r="Y249" s="5">
        <f t="shared" si="18"/>
        <v>435.59999999999997</v>
      </c>
      <c r="Z249" s="5">
        <f t="shared" si="19"/>
        <v>19.035719999999998</v>
      </c>
    </row>
    <row r="250" spans="1:26" x14ac:dyDescent="0.3">
      <c r="A250" t="s">
        <v>1135</v>
      </c>
      <c r="B250" s="5">
        <f>VLOOKUP(A250,Dim!A:B,2)</f>
        <v>5.74</v>
      </c>
      <c r="C250">
        <v>5.92</v>
      </c>
      <c r="D250">
        <v>0.56000000000000005</v>
      </c>
      <c r="E250">
        <v>0.501</v>
      </c>
      <c r="F250" s="1">
        <v>4.4499999999999998E-2</v>
      </c>
      <c r="G250">
        <v>0.32200000000000001</v>
      </c>
      <c r="H250">
        <v>1.65</v>
      </c>
      <c r="I250">
        <v>3.17</v>
      </c>
      <c r="J250">
        <v>-5.77</v>
      </c>
      <c r="K250">
        <v>4.3</v>
      </c>
      <c r="L250">
        <v>2.88</v>
      </c>
      <c r="M250" s="1">
        <v>0.15809999999999999</v>
      </c>
      <c r="N250" s="1">
        <v>8.4699999999999998E-2</v>
      </c>
      <c r="O250">
        <v>2.11</v>
      </c>
      <c r="P250" s="1">
        <v>0.11749999999999999</v>
      </c>
      <c r="Q250" s="1">
        <v>9.4899999999999998E-2</v>
      </c>
      <c r="R250" s="3">
        <v>611962</v>
      </c>
      <c r="S250" s="3">
        <v>2727990000</v>
      </c>
      <c r="T250">
        <v>0.34</v>
      </c>
      <c r="U250" s="1">
        <v>7.8100000000000003E-2</v>
      </c>
      <c r="V250" s="4">
        <f t="shared" si="15"/>
        <v>3.708333333333333E-3</v>
      </c>
      <c r="W250" s="5">
        <f t="shared" si="16"/>
        <v>2.1285833333333334E-2</v>
      </c>
      <c r="X250">
        <f t="shared" si="17"/>
        <v>271</v>
      </c>
      <c r="Y250" s="5">
        <f t="shared" si="18"/>
        <v>1555.54</v>
      </c>
      <c r="Z250" s="5">
        <f t="shared" si="19"/>
        <v>5.7684608333333331</v>
      </c>
    </row>
    <row r="251" spans="1:26" x14ac:dyDescent="0.3">
      <c r="A251" t="s">
        <v>1132</v>
      </c>
      <c r="B251" s="5">
        <f>VLOOKUP(A251,Dim!A:B,2)</f>
        <v>5.74</v>
      </c>
      <c r="C251">
        <v>5.79</v>
      </c>
      <c r="D251">
        <v>1.17</v>
      </c>
      <c r="E251">
        <v>1.72</v>
      </c>
      <c r="F251" s="1">
        <v>0.11210000000000001</v>
      </c>
      <c r="G251">
        <v>1.0529999999999999</v>
      </c>
      <c r="H251">
        <v>1.88</v>
      </c>
      <c r="I251">
        <v>10.27</v>
      </c>
      <c r="J251">
        <v>1.9</v>
      </c>
      <c r="K251">
        <v>7.37</v>
      </c>
      <c r="L251">
        <v>6.31</v>
      </c>
      <c r="M251" s="1">
        <v>0.16739999999999999</v>
      </c>
      <c r="N251" s="1">
        <v>0.29720000000000002</v>
      </c>
      <c r="O251">
        <v>6.97</v>
      </c>
      <c r="P251" s="1">
        <v>0.15409999999999999</v>
      </c>
      <c r="Q251" s="1">
        <v>0.20169999999999999</v>
      </c>
      <c r="R251" s="3">
        <v>17574400</v>
      </c>
      <c r="S251" s="3">
        <v>4019470000</v>
      </c>
      <c r="T251">
        <v>0.02</v>
      </c>
      <c r="U251" s="1">
        <v>2.92E-2</v>
      </c>
      <c r="V251" s="4">
        <f t="shared" si="15"/>
        <v>9.3416666666666665E-3</v>
      </c>
      <c r="W251" s="5">
        <f t="shared" si="16"/>
        <v>5.3621166666666671E-2</v>
      </c>
      <c r="X251">
        <f t="shared" si="17"/>
        <v>109</v>
      </c>
      <c r="Y251" s="5">
        <f t="shared" si="18"/>
        <v>625.66</v>
      </c>
      <c r="Z251" s="5">
        <f t="shared" si="19"/>
        <v>5.8447071666666668</v>
      </c>
    </row>
    <row r="252" spans="1:26" x14ac:dyDescent="0.3">
      <c r="A252" t="s">
        <v>1128</v>
      </c>
      <c r="B252" s="5">
        <f>VLOOKUP(A252,Dim!A:B,2)</f>
        <v>18.149999999999999</v>
      </c>
      <c r="C252">
        <v>5.74</v>
      </c>
      <c r="D252">
        <v>1.3</v>
      </c>
      <c r="E252">
        <v>0.97</v>
      </c>
      <c r="F252" s="1">
        <v>9.9400000000000002E-2</v>
      </c>
      <c r="G252">
        <v>1.036</v>
      </c>
      <c r="H252">
        <v>2.97</v>
      </c>
      <c r="I252">
        <v>5.0199999999999996</v>
      </c>
      <c r="J252">
        <v>3.46</v>
      </c>
      <c r="K252">
        <v>4.3</v>
      </c>
      <c r="L252">
        <v>3.66</v>
      </c>
      <c r="M252" s="1">
        <v>0.193</v>
      </c>
      <c r="N252" s="1">
        <v>0.16880000000000001</v>
      </c>
      <c r="O252">
        <v>3.27</v>
      </c>
      <c r="P252" s="1">
        <v>0.25700000000000001</v>
      </c>
      <c r="Q252" s="1">
        <v>0.22639999999999999</v>
      </c>
      <c r="R252" s="3">
        <v>258100</v>
      </c>
      <c r="S252" s="3">
        <v>307565000</v>
      </c>
      <c r="T252">
        <v>0.01</v>
      </c>
      <c r="U252" s="1">
        <v>0.219</v>
      </c>
      <c r="V252" s="4">
        <f t="shared" si="15"/>
        <v>8.2833333333333335E-3</v>
      </c>
      <c r="W252" s="5">
        <f t="shared" si="16"/>
        <v>0.15034249999999999</v>
      </c>
      <c r="X252">
        <f t="shared" si="17"/>
        <v>122</v>
      </c>
      <c r="Y252" s="5">
        <f t="shared" si="18"/>
        <v>2214.2999999999997</v>
      </c>
      <c r="Z252" s="5">
        <f t="shared" si="19"/>
        <v>18.341784999999998</v>
      </c>
    </row>
    <row r="253" spans="1:26" x14ac:dyDescent="0.3">
      <c r="A253" t="s">
        <v>1126</v>
      </c>
      <c r="B253" s="5">
        <f>VLOOKUP(A253,Dim!A:B,2)</f>
        <v>51.8</v>
      </c>
      <c r="C253">
        <v>5.71</v>
      </c>
      <c r="D253">
        <v>1.1499999999999999</v>
      </c>
      <c r="E253">
        <v>0.73899999999999999</v>
      </c>
      <c r="F253" s="1">
        <v>9.2200000000000004E-2</v>
      </c>
      <c r="G253">
        <v>0.43099999999999999</v>
      </c>
      <c r="H253">
        <v>6.83</v>
      </c>
      <c r="I253">
        <v>3.4</v>
      </c>
      <c r="J253">
        <v>-1.1399999999999999</v>
      </c>
      <c r="K253">
        <v>5.57</v>
      </c>
      <c r="L253">
        <v>4.47</v>
      </c>
      <c r="M253" s="1">
        <v>0.2172</v>
      </c>
      <c r="N253" s="1">
        <v>0.12939999999999999</v>
      </c>
      <c r="O253">
        <v>1.34</v>
      </c>
      <c r="P253" s="1">
        <v>0.1482</v>
      </c>
      <c r="Q253" s="1">
        <v>0.20200000000000001</v>
      </c>
      <c r="R253" s="3">
        <v>13255.4</v>
      </c>
      <c r="S253" s="3">
        <v>4226690000</v>
      </c>
      <c r="T253">
        <v>0.98</v>
      </c>
      <c r="U253" s="1">
        <v>9.0499999999999997E-2</v>
      </c>
      <c r="V253" s="4">
        <f t="shared" si="15"/>
        <v>7.6833333333333337E-3</v>
      </c>
      <c r="W253" s="5">
        <f t="shared" si="16"/>
        <v>0.39799666666666667</v>
      </c>
      <c r="X253">
        <f t="shared" si="17"/>
        <v>132</v>
      </c>
      <c r="Y253" s="5">
        <f t="shared" si="18"/>
        <v>6837.5999999999995</v>
      </c>
      <c r="Z253" s="5">
        <f t="shared" si="19"/>
        <v>52.535559999999997</v>
      </c>
    </row>
    <row r="254" spans="1:26" x14ac:dyDescent="0.3">
      <c r="A254" t="s">
        <v>1125</v>
      </c>
      <c r="B254" s="5">
        <f>VLOOKUP(A254,Dim!A:B,2)</f>
        <v>7.69</v>
      </c>
      <c r="C254">
        <v>5.7</v>
      </c>
      <c r="D254">
        <v>0.84</v>
      </c>
      <c r="E254">
        <v>0</v>
      </c>
      <c r="F254" s="1">
        <v>8.6300000000000002E-2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 s="1">
        <v>0</v>
      </c>
      <c r="N254" s="1">
        <v>0</v>
      </c>
      <c r="O254">
        <v>0</v>
      </c>
      <c r="P254" s="1">
        <v>0</v>
      </c>
      <c r="Q254" s="1">
        <v>0.14710000000000001</v>
      </c>
      <c r="R254" s="3">
        <v>7603050</v>
      </c>
      <c r="S254" s="3">
        <v>6581400000</v>
      </c>
      <c r="T254">
        <v>0</v>
      </c>
      <c r="U254" s="1">
        <v>0.17899999999999999</v>
      </c>
      <c r="V254" s="4">
        <f t="shared" si="15"/>
        <v>7.1916666666666665E-3</v>
      </c>
      <c r="W254" s="5">
        <f t="shared" si="16"/>
        <v>5.5303916666666668E-2</v>
      </c>
      <c r="X254">
        <f t="shared" si="17"/>
        <v>141</v>
      </c>
      <c r="Y254" s="5">
        <f t="shared" si="18"/>
        <v>1084.29</v>
      </c>
      <c r="Z254" s="5">
        <f t="shared" si="19"/>
        <v>7.79785225</v>
      </c>
    </row>
    <row r="255" spans="1:26" x14ac:dyDescent="0.3">
      <c r="A255" t="s">
        <v>651</v>
      </c>
      <c r="B255" s="5">
        <f>VLOOKUP(A255,Dim!A:B,2)</f>
        <v>0</v>
      </c>
      <c r="C255">
        <v>-43.85</v>
      </c>
      <c r="D255">
        <v>0.52</v>
      </c>
      <c r="E255">
        <v>0.158</v>
      </c>
      <c r="F255" s="1">
        <v>0.1227</v>
      </c>
      <c r="G255">
        <v>0.161</v>
      </c>
      <c r="H255">
        <v>0.44</v>
      </c>
      <c r="I255">
        <v>2.4900000000000002</v>
      </c>
      <c r="J255">
        <v>-2.68</v>
      </c>
      <c r="K255">
        <v>6.45</v>
      </c>
      <c r="L255">
        <v>4.0199999999999996</v>
      </c>
      <c r="M255" s="1">
        <v>6.3500000000000001E-2</v>
      </c>
      <c r="N255" s="1">
        <v>-3.7000000000000002E-3</v>
      </c>
      <c r="O255">
        <v>2.41</v>
      </c>
      <c r="P255" s="1">
        <v>8.9300000000000004E-2</v>
      </c>
      <c r="Q255" s="1">
        <v>-1.18E-2</v>
      </c>
      <c r="R255" s="3">
        <v>9620210</v>
      </c>
      <c r="S255" s="3">
        <v>3163240000</v>
      </c>
      <c r="T255">
        <v>1.28</v>
      </c>
      <c r="U255" s="1">
        <v>0.15240000000000001</v>
      </c>
      <c r="V255" s="4">
        <f t="shared" si="15"/>
        <v>1.0225E-2</v>
      </c>
      <c r="W255" s="5">
        <f t="shared" si="16"/>
        <v>0</v>
      </c>
      <c r="X255" t="e">
        <f t="shared" si="17"/>
        <v>#DIV/0!</v>
      </c>
      <c r="Y255" s="5" t="e">
        <f t="shared" si="18"/>
        <v>#DIV/0!</v>
      </c>
      <c r="Z255" s="5" t="e">
        <f t="shared" si="19"/>
        <v>#DIV/0!</v>
      </c>
    </row>
    <row r="256" spans="1:26" x14ac:dyDescent="0.3">
      <c r="A256" t="s">
        <v>1121</v>
      </c>
      <c r="B256" s="5">
        <f>VLOOKUP(A256,Dim!A:B,2)</f>
        <v>5.74</v>
      </c>
      <c r="C256">
        <v>5.6</v>
      </c>
      <c r="D256">
        <v>0.78</v>
      </c>
      <c r="E256">
        <v>1.837</v>
      </c>
      <c r="F256" s="1">
        <v>9.4899999999999998E-2</v>
      </c>
      <c r="G256">
        <v>0.35899999999999999</v>
      </c>
      <c r="H256">
        <v>2.99</v>
      </c>
      <c r="I256">
        <v>4.7699999999999996</v>
      </c>
      <c r="J256">
        <v>-0.95</v>
      </c>
      <c r="K256">
        <v>8.3800000000000008</v>
      </c>
      <c r="L256">
        <v>8.2899999999999991</v>
      </c>
      <c r="M256" s="1">
        <v>0.3851</v>
      </c>
      <c r="N256" s="1">
        <v>0.33450000000000002</v>
      </c>
      <c r="O256">
        <v>4.46</v>
      </c>
      <c r="P256" s="1">
        <v>7.9899999999999999E-2</v>
      </c>
      <c r="Q256" s="1">
        <v>0.1399</v>
      </c>
      <c r="R256" s="3">
        <v>52150700</v>
      </c>
      <c r="S256" s="3">
        <v>20907000000</v>
      </c>
      <c r="T256">
        <v>0.71</v>
      </c>
      <c r="U256" s="1">
        <v>0.17910000000000001</v>
      </c>
      <c r="V256" s="4">
        <f t="shared" si="15"/>
        <v>7.9083333333333332E-3</v>
      </c>
      <c r="W256" s="5">
        <f t="shared" si="16"/>
        <v>4.5393833333333335E-2</v>
      </c>
      <c r="X256">
        <f t="shared" si="17"/>
        <v>128</v>
      </c>
      <c r="Y256" s="5">
        <f t="shared" si="18"/>
        <v>734.72</v>
      </c>
      <c r="Z256" s="5">
        <f t="shared" si="19"/>
        <v>5.8104106666666668</v>
      </c>
    </row>
    <row r="257" spans="1:26" x14ac:dyDescent="0.3">
      <c r="A257" t="s">
        <v>1392</v>
      </c>
      <c r="B257" s="5">
        <f>VLOOKUP(A257,Dim!A:B,2)</f>
        <v>0</v>
      </c>
      <c r="C257">
        <v>13.47</v>
      </c>
      <c r="D257">
        <v>1.33</v>
      </c>
      <c r="E257">
        <v>0.90500000000000003</v>
      </c>
      <c r="F257" s="1">
        <v>8.5400000000000004E-2</v>
      </c>
      <c r="G257">
        <v>0.155</v>
      </c>
      <c r="H257">
        <v>1.33</v>
      </c>
      <c r="I257">
        <v>1.27</v>
      </c>
      <c r="J257">
        <v>-0.25</v>
      </c>
      <c r="K257">
        <v>5.83</v>
      </c>
      <c r="L257">
        <v>4.41</v>
      </c>
      <c r="M257" s="1">
        <v>0.71079999999999999</v>
      </c>
      <c r="N257" s="1">
        <v>6.7199999999999996E-2</v>
      </c>
      <c r="O257">
        <v>1.8</v>
      </c>
      <c r="P257" s="1">
        <v>0.15429999999999999</v>
      </c>
      <c r="Q257" s="1">
        <v>9.9000000000000005E-2</v>
      </c>
      <c r="R257" s="3">
        <v>50830600</v>
      </c>
      <c r="S257" s="3">
        <v>2604220000</v>
      </c>
      <c r="T257">
        <v>6.33</v>
      </c>
      <c r="U257" s="1">
        <v>0.19450000000000001</v>
      </c>
      <c r="V257" s="4">
        <f t="shared" si="15"/>
        <v>7.116666666666667E-3</v>
      </c>
      <c r="W257" s="5">
        <f t="shared" si="16"/>
        <v>0</v>
      </c>
      <c r="X257" t="e">
        <f t="shared" si="17"/>
        <v>#DIV/0!</v>
      </c>
      <c r="Y257" s="5" t="e">
        <f t="shared" si="18"/>
        <v>#DIV/0!</v>
      </c>
      <c r="Z257" s="5" t="e">
        <f t="shared" si="19"/>
        <v>#DIV/0!</v>
      </c>
    </row>
    <row r="258" spans="1:26" x14ac:dyDescent="0.3">
      <c r="A258" t="s">
        <v>1498</v>
      </c>
      <c r="B258" s="5">
        <f>VLOOKUP(A258,Dim!A:B,2)</f>
        <v>0</v>
      </c>
      <c r="C258">
        <v>29.08</v>
      </c>
      <c r="D258">
        <v>0.31</v>
      </c>
      <c r="E258">
        <v>0.23200000000000001</v>
      </c>
      <c r="F258" s="1">
        <v>5.96E-2</v>
      </c>
      <c r="G258">
        <v>0.14099999999999999</v>
      </c>
      <c r="H258">
        <v>0.6</v>
      </c>
      <c r="I258">
        <v>1.22</v>
      </c>
      <c r="J258">
        <v>-2.46</v>
      </c>
      <c r="K258">
        <v>0.42</v>
      </c>
      <c r="L258">
        <v>0.19</v>
      </c>
      <c r="M258" s="1">
        <v>0.19109999999999999</v>
      </c>
      <c r="N258" s="1">
        <v>8.0999999999999996E-3</v>
      </c>
      <c r="O258">
        <v>1.9</v>
      </c>
      <c r="P258" s="1">
        <v>0.1361</v>
      </c>
      <c r="Q258" s="1">
        <v>1.0800000000000001E-2</v>
      </c>
      <c r="R258" s="3">
        <v>104690</v>
      </c>
      <c r="S258" s="3">
        <v>644725000</v>
      </c>
      <c r="T258">
        <v>0</v>
      </c>
      <c r="U258" s="1">
        <v>-8.2100000000000006E-2</v>
      </c>
      <c r="V258" s="4">
        <f t="shared" ref="V258:V309" si="20">F258/12</f>
        <v>4.966666666666667E-3</v>
      </c>
      <c r="W258" s="5">
        <f t="shared" ref="W258:W321" si="21">V258*B258</f>
        <v>0</v>
      </c>
      <c r="X258" t="e">
        <f t="shared" ref="X258:X321" si="22">ROUNDUP((B258/W258),0)+1</f>
        <v>#DIV/0!</v>
      </c>
      <c r="Y258" s="5" t="e">
        <f t="shared" ref="Y258:Y321" si="23">X258*B258</f>
        <v>#DIV/0!</v>
      </c>
      <c r="Z258" s="5" t="e">
        <f t="shared" ref="Z258:Z309" si="24">X258*W258</f>
        <v>#DIV/0!</v>
      </c>
    </row>
    <row r="259" spans="1:26" x14ac:dyDescent="0.3">
      <c r="A259" t="s">
        <v>1120</v>
      </c>
      <c r="B259" s="5">
        <f>VLOOKUP(A259,Dim!A:B,2)</f>
        <v>58</v>
      </c>
      <c r="C259">
        <v>5.6</v>
      </c>
      <c r="D259">
        <v>0.79</v>
      </c>
      <c r="E259">
        <v>0</v>
      </c>
      <c r="F259" s="1">
        <v>7.9500000000000001E-2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 s="1">
        <v>0</v>
      </c>
      <c r="N259" s="1">
        <v>0</v>
      </c>
      <c r="O259">
        <v>0</v>
      </c>
      <c r="P259" s="1">
        <v>0</v>
      </c>
      <c r="Q259" s="1">
        <v>0.1419</v>
      </c>
      <c r="R259" s="3">
        <v>10083</v>
      </c>
      <c r="S259" s="3">
        <v>838361000</v>
      </c>
      <c r="T259">
        <v>0</v>
      </c>
      <c r="U259" s="1">
        <v>3.32E-2</v>
      </c>
      <c r="V259" s="4">
        <f t="shared" si="20"/>
        <v>6.6249999999999998E-3</v>
      </c>
      <c r="W259" s="5">
        <f t="shared" si="21"/>
        <v>0.38424999999999998</v>
      </c>
      <c r="X259">
        <f t="shared" si="22"/>
        <v>152</v>
      </c>
      <c r="Y259" s="5">
        <f t="shared" si="23"/>
        <v>8816</v>
      </c>
      <c r="Z259" s="5">
        <f t="shared" si="24"/>
        <v>58.405999999999999</v>
      </c>
    </row>
    <row r="260" spans="1:26" x14ac:dyDescent="0.3">
      <c r="A260" t="s">
        <v>1119</v>
      </c>
      <c r="B260" s="5">
        <f>VLOOKUP(A260,Dim!A:B,2)</f>
        <v>29.49</v>
      </c>
      <c r="C260">
        <v>5.54</v>
      </c>
      <c r="D260">
        <v>0.82</v>
      </c>
      <c r="E260">
        <v>1.083</v>
      </c>
      <c r="F260" s="1">
        <v>0.1769</v>
      </c>
      <c r="G260">
        <v>0.505</v>
      </c>
      <c r="H260">
        <v>5.83</v>
      </c>
      <c r="I260">
        <v>3.91</v>
      </c>
      <c r="J260">
        <v>-2.2400000000000002</v>
      </c>
      <c r="K260">
        <v>5.17</v>
      </c>
      <c r="L260">
        <v>2.91</v>
      </c>
      <c r="M260" s="1">
        <v>0.27700000000000002</v>
      </c>
      <c r="N260" s="1">
        <v>0.19550000000000001</v>
      </c>
      <c r="O260">
        <v>2.2200000000000002</v>
      </c>
      <c r="P260" s="1">
        <v>0.14960000000000001</v>
      </c>
      <c r="Q260" s="1">
        <v>0.14799999999999999</v>
      </c>
      <c r="R260" s="3">
        <v>26349800</v>
      </c>
      <c r="S260" s="3">
        <v>4438630000</v>
      </c>
      <c r="T260">
        <v>0.41</v>
      </c>
      <c r="U260" s="1">
        <v>0.18110000000000001</v>
      </c>
      <c r="V260" s="4">
        <f t="shared" si="20"/>
        <v>1.4741666666666667E-2</v>
      </c>
      <c r="W260" s="5">
        <f t="shared" si="21"/>
        <v>0.43473174999999997</v>
      </c>
      <c r="X260">
        <f t="shared" si="22"/>
        <v>69</v>
      </c>
      <c r="Y260" s="5">
        <f t="shared" si="23"/>
        <v>2034.81</v>
      </c>
      <c r="Z260" s="5">
        <f t="shared" si="24"/>
        <v>29.99649075</v>
      </c>
    </row>
    <row r="261" spans="1:26" x14ac:dyDescent="0.3">
      <c r="A261" t="s">
        <v>1118</v>
      </c>
      <c r="B261" s="5">
        <f>VLOOKUP(A261,Dim!A:B,2)</f>
        <v>5.74</v>
      </c>
      <c r="C261">
        <v>5.52</v>
      </c>
      <c r="D261">
        <v>0.31</v>
      </c>
      <c r="E261">
        <v>0.218</v>
      </c>
      <c r="F261" s="1">
        <v>2.1299999999999999E-2</v>
      </c>
      <c r="G261">
        <v>0.19</v>
      </c>
      <c r="H261">
        <v>1.2</v>
      </c>
      <c r="I261">
        <v>6.64</v>
      </c>
      <c r="J261">
        <v>14.8</v>
      </c>
      <c r="K261">
        <v>10.4</v>
      </c>
      <c r="L261">
        <v>4.3499999999999996</v>
      </c>
      <c r="M261" s="1">
        <v>3.2800000000000003E-2</v>
      </c>
      <c r="N261" s="1">
        <v>3.95E-2</v>
      </c>
      <c r="O261">
        <v>1.65</v>
      </c>
      <c r="P261" s="1">
        <v>3.09E-2</v>
      </c>
      <c r="Q261" s="1">
        <v>5.6500000000000002E-2</v>
      </c>
      <c r="R261" s="3">
        <v>422568</v>
      </c>
      <c r="S261" s="3">
        <v>826833000</v>
      </c>
      <c r="T261">
        <v>0.19</v>
      </c>
      <c r="U261" s="1">
        <v>3.6400000000000002E-2</v>
      </c>
      <c r="V261" s="4">
        <f t="shared" si="20"/>
        <v>1.7749999999999999E-3</v>
      </c>
      <c r="W261" s="5">
        <f t="shared" si="21"/>
        <v>1.01885E-2</v>
      </c>
      <c r="X261">
        <f t="shared" si="22"/>
        <v>565</v>
      </c>
      <c r="Y261" s="5">
        <f t="shared" si="23"/>
        <v>3243.1</v>
      </c>
      <c r="Z261" s="5">
        <f t="shared" si="24"/>
        <v>5.7565024999999999</v>
      </c>
    </row>
    <row r="262" spans="1:26" x14ac:dyDescent="0.3">
      <c r="A262" t="s">
        <v>1117</v>
      </c>
      <c r="B262" s="5">
        <f>VLOOKUP(A262,Dim!A:B,2)</f>
        <v>18.149999999999999</v>
      </c>
      <c r="C262">
        <v>5.49</v>
      </c>
      <c r="D262">
        <v>0.64</v>
      </c>
      <c r="E262">
        <v>0.73499999999999999</v>
      </c>
      <c r="F262" s="1">
        <v>1.66E-2</v>
      </c>
      <c r="G262">
        <v>0.17899999999999999</v>
      </c>
      <c r="H262">
        <v>0.39</v>
      </c>
      <c r="I262">
        <v>26.67</v>
      </c>
      <c r="J262">
        <v>6.37</v>
      </c>
      <c r="K262">
        <v>45.03</v>
      </c>
      <c r="L262">
        <v>27.67</v>
      </c>
      <c r="M262" s="1">
        <v>2.75E-2</v>
      </c>
      <c r="N262" s="1">
        <v>0.15409999999999999</v>
      </c>
      <c r="O262">
        <v>4.26</v>
      </c>
      <c r="P262" s="1">
        <v>7.4999999999999997E-3</v>
      </c>
      <c r="Q262" s="1">
        <v>0.11700000000000001</v>
      </c>
      <c r="R262" s="3">
        <v>1767.91</v>
      </c>
      <c r="S262" s="3">
        <v>176959000</v>
      </c>
      <c r="T262">
        <v>0.74</v>
      </c>
      <c r="U262" s="1">
        <v>0.17680000000000001</v>
      </c>
      <c r="V262" s="4">
        <f t="shared" si="20"/>
        <v>1.3833333333333334E-3</v>
      </c>
      <c r="W262" s="5">
        <f t="shared" si="21"/>
        <v>2.5107499999999998E-2</v>
      </c>
      <c r="X262">
        <f t="shared" si="22"/>
        <v>724</v>
      </c>
      <c r="Y262" s="5">
        <f t="shared" si="23"/>
        <v>13140.599999999999</v>
      </c>
      <c r="Z262" s="5">
        <f t="shared" si="24"/>
        <v>18.17783</v>
      </c>
    </row>
    <row r="263" spans="1:26" x14ac:dyDescent="0.3">
      <c r="A263" t="s">
        <v>1115</v>
      </c>
      <c r="B263" s="5">
        <f>VLOOKUP(A263,Dim!A:B,2)</f>
        <v>18.149999999999999</v>
      </c>
      <c r="C263">
        <v>5.35</v>
      </c>
      <c r="D263">
        <v>0.66</v>
      </c>
      <c r="E263">
        <v>0.84499999999999997</v>
      </c>
      <c r="F263" s="1">
        <v>0.1053</v>
      </c>
      <c r="G263">
        <v>0.48399999999999999</v>
      </c>
      <c r="H263">
        <v>1.72</v>
      </c>
      <c r="I263">
        <v>7.07</v>
      </c>
      <c r="J263">
        <v>2.86</v>
      </c>
      <c r="K263">
        <v>5.18</v>
      </c>
      <c r="L263">
        <v>3.96</v>
      </c>
      <c r="M263" s="1">
        <v>0.1195</v>
      </c>
      <c r="N263" s="1">
        <v>0.1578</v>
      </c>
      <c r="O263">
        <v>2.75</v>
      </c>
      <c r="P263" s="1">
        <v>8.5900000000000004E-2</v>
      </c>
      <c r="Q263" s="1">
        <v>0.1241</v>
      </c>
      <c r="R263" s="3">
        <v>489215</v>
      </c>
      <c r="S263" s="3">
        <v>949228000</v>
      </c>
      <c r="T263">
        <v>0</v>
      </c>
      <c r="U263" s="1">
        <v>6.9099999999999995E-2</v>
      </c>
      <c r="V263" s="4">
        <f t="shared" si="20"/>
        <v>8.7749999999999998E-3</v>
      </c>
      <c r="W263" s="5">
        <f t="shared" si="21"/>
        <v>0.15926624999999997</v>
      </c>
      <c r="X263">
        <f t="shared" si="22"/>
        <v>115</v>
      </c>
      <c r="Y263" s="5">
        <f t="shared" si="23"/>
        <v>2087.25</v>
      </c>
      <c r="Z263" s="5">
        <f t="shared" si="24"/>
        <v>18.315618749999995</v>
      </c>
    </row>
    <row r="264" spans="1:26" x14ac:dyDescent="0.3">
      <c r="A264" t="s">
        <v>1113</v>
      </c>
      <c r="B264" s="5">
        <f>VLOOKUP(A264,Dim!A:B,2)</f>
        <v>29.95</v>
      </c>
      <c r="C264">
        <v>5.33</v>
      </c>
      <c r="D264">
        <v>0.87</v>
      </c>
      <c r="E264">
        <v>0.40300000000000002</v>
      </c>
      <c r="F264" s="1">
        <v>6.54E-2</v>
      </c>
      <c r="G264">
        <v>0.55800000000000005</v>
      </c>
      <c r="H264">
        <v>1.21</v>
      </c>
      <c r="I264">
        <v>5.45</v>
      </c>
      <c r="J264">
        <v>1.94</v>
      </c>
      <c r="K264">
        <v>5.51</v>
      </c>
      <c r="L264">
        <v>4.57</v>
      </c>
      <c r="M264" s="1">
        <v>7.3899999999999993E-2</v>
      </c>
      <c r="N264" s="1">
        <v>7.5600000000000001E-2</v>
      </c>
      <c r="O264">
        <v>3.52</v>
      </c>
      <c r="P264" s="1">
        <v>0.1303</v>
      </c>
      <c r="Q264" s="1">
        <v>0.1628</v>
      </c>
      <c r="R264" s="3">
        <v>794882</v>
      </c>
      <c r="S264" s="3">
        <v>1014220000</v>
      </c>
      <c r="T264">
        <v>0.23</v>
      </c>
      <c r="U264" s="1">
        <v>7.4800000000000005E-2</v>
      </c>
      <c r="V264" s="4">
        <f t="shared" si="20"/>
        <v>5.45E-3</v>
      </c>
      <c r="W264" s="5">
        <f t="shared" si="21"/>
        <v>0.1632275</v>
      </c>
      <c r="X264">
        <f t="shared" si="22"/>
        <v>185</v>
      </c>
      <c r="Y264" s="5">
        <f t="shared" si="23"/>
        <v>5540.75</v>
      </c>
      <c r="Z264" s="5">
        <f t="shared" si="24"/>
        <v>30.197087499999999</v>
      </c>
    </row>
    <row r="265" spans="1:26" x14ac:dyDescent="0.3">
      <c r="A265" t="s">
        <v>1112</v>
      </c>
      <c r="B265" s="5">
        <f>VLOOKUP(A265,Dim!A:B,2)</f>
        <v>29.49</v>
      </c>
      <c r="C265">
        <v>5.32</v>
      </c>
      <c r="D265">
        <v>1.03</v>
      </c>
      <c r="E265">
        <v>0.83499999999999996</v>
      </c>
      <c r="F265" s="1">
        <v>0.16300000000000001</v>
      </c>
      <c r="G265">
        <v>0.35</v>
      </c>
      <c r="H265">
        <v>-9.5</v>
      </c>
      <c r="I265">
        <v>2</v>
      </c>
      <c r="J265">
        <v>-0.65</v>
      </c>
      <c r="K265">
        <v>3.56</v>
      </c>
      <c r="L265">
        <v>2.62</v>
      </c>
      <c r="M265" s="1">
        <v>0.41670000000000001</v>
      </c>
      <c r="N265" s="1">
        <v>0.1578</v>
      </c>
      <c r="O265">
        <v>0.76</v>
      </c>
      <c r="P265" s="1">
        <v>0.18870000000000001</v>
      </c>
      <c r="Q265" s="1">
        <v>0.1938</v>
      </c>
      <c r="R265" s="3">
        <v>333669000</v>
      </c>
      <c r="S265" s="3">
        <v>399222000000</v>
      </c>
      <c r="T265">
        <v>0.93</v>
      </c>
      <c r="U265" s="1">
        <v>6.1699999999999998E-2</v>
      </c>
      <c r="V265" s="4">
        <f t="shared" si="20"/>
        <v>1.3583333333333334E-2</v>
      </c>
      <c r="W265" s="5">
        <f t="shared" si="21"/>
        <v>0.4005725</v>
      </c>
      <c r="X265">
        <f t="shared" si="22"/>
        <v>75</v>
      </c>
      <c r="Y265" s="5">
        <f t="shared" si="23"/>
        <v>2211.75</v>
      </c>
      <c r="Z265" s="5">
        <f t="shared" si="24"/>
        <v>30.042937500000001</v>
      </c>
    </row>
    <row r="266" spans="1:26" x14ac:dyDescent="0.3">
      <c r="A266" t="s">
        <v>1111</v>
      </c>
      <c r="B266" s="5">
        <f>VLOOKUP(A266,Dim!A:B,2)</f>
        <v>18.149999999999999</v>
      </c>
      <c r="C266">
        <v>5.31</v>
      </c>
      <c r="D266">
        <v>0.66</v>
      </c>
      <c r="E266">
        <v>0.83799999999999997</v>
      </c>
      <c r="F266" s="1">
        <v>0.1061</v>
      </c>
      <c r="G266">
        <v>0.48</v>
      </c>
      <c r="H266">
        <v>1.71</v>
      </c>
      <c r="I266">
        <v>7.01</v>
      </c>
      <c r="J266">
        <v>2.84</v>
      </c>
      <c r="K266">
        <v>5.12</v>
      </c>
      <c r="L266">
        <v>3.92</v>
      </c>
      <c r="M266" s="1">
        <v>0.1195</v>
      </c>
      <c r="N266" s="1">
        <v>0.1578</v>
      </c>
      <c r="O266">
        <v>2.75</v>
      </c>
      <c r="P266" s="1">
        <v>8.5900000000000004E-2</v>
      </c>
      <c r="Q266" s="1">
        <v>0.1241</v>
      </c>
      <c r="R266" s="3">
        <v>65949.2</v>
      </c>
      <c r="S266" s="3">
        <v>949228000</v>
      </c>
      <c r="T266">
        <v>0</v>
      </c>
      <c r="U266" s="1">
        <v>6.9099999999999995E-2</v>
      </c>
      <c r="V266" s="4">
        <f t="shared" si="20"/>
        <v>8.8416666666666661E-3</v>
      </c>
      <c r="W266" s="5">
        <f t="shared" si="21"/>
        <v>0.16047624999999999</v>
      </c>
      <c r="X266">
        <f t="shared" si="22"/>
        <v>115</v>
      </c>
      <c r="Y266" s="5">
        <f t="shared" si="23"/>
        <v>2087.25</v>
      </c>
      <c r="Z266" s="5">
        <f t="shared" si="24"/>
        <v>18.454768749999999</v>
      </c>
    </row>
    <row r="267" spans="1:26" x14ac:dyDescent="0.3">
      <c r="A267" t="s">
        <v>1110</v>
      </c>
      <c r="B267" s="5">
        <f>VLOOKUP(A267,Dim!A:B,2)</f>
        <v>29.95</v>
      </c>
      <c r="C267">
        <v>5.3</v>
      </c>
      <c r="D267">
        <v>0.86</v>
      </c>
      <c r="E267">
        <v>0.4</v>
      </c>
      <c r="F267" s="1">
        <v>6.7199999999999996E-2</v>
      </c>
      <c r="G267">
        <v>0.55400000000000005</v>
      </c>
      <c r="H267">
        <v>1.2</v>
      </c>
      <c r="I267">
        <v>5.42</v>
      </c>
      <c r="J267">
        <v>1.93</v>
      </c>
      <c r="K267">
        <v>5.48</v>
      </c>
      <c r="L267">
        <v>4.54</v>
      </c>
      <c r="M267" s="1">
        <v>7.3899999999999993E-2</v>
      </c>
      <c r="N267" s="1">
        <v>7.5600000000000001E-2</v>
      </c>
      <c r="O267">
        <v>3.52</v>
      </c>
      <c r="P267" s="1">
        <v>0.1303</v>
      </c>
      <c r="Q267" s="1">
        <v>0.1628</v>
      </c>
      <c r="R267" s="3">
        <v>33776.300000000003</v>
      </c>
      <c r="S267" s="3">
        <v>1014220000</v>
      </c>
      <c r="T267">
        <v>0.23</v>
      </c>
      <c r="U267" s="1">
        <v>7.4800000000000005E-2</v>
      </c>
      <c r="V267" s="4">
        <f t="shared" si="20"/>
        <v>5.5999999999999999E-3</v>
      </c>
      <c r="W267" s="5">
        <f t="shared" si="21"/>
        <v>0.16772000000000001</v>
      </c>
      <c r="X267">
        <f t="shared" si="22"/>
        <v>180</v>
      </c>
      <c r="Y267" s="5">
        <f t="shared" si="23"/>
        <v>5391</v>
      </c>
      <c r="Z267" s="5">
        <f t="shared" si="24"/>
        <v>30.189600000000002</v>
      </c>
    </row>
    <row r="268" spans="1:26" x14ac:dyDescent="0.3">
      <c r="A268" t="s">
        <v>1109</v>
      </c>
      <c r="B268" s="5">
        <f>VLOOKUP(A268,Dim!A:B,2)</f>
        <v>5.74</v>
      </c>
      <c r="C268">
        <v>5.26</v>
      </c>
      <c r="D268">
        <v>0.53</v>
      </c>
      <c r="E268">
        <v>8.4390000000000001</v>
      </c>
      <c r="F268" s="1">
        <v>9.5200000000000007E-2</v>
      </c>
      <c r="G268">
        <v>0.28199999999999997</v>
      </c>
      <c r="H268">
        <v>6.54</v>
      </c>
      <c r="I268">
        <v>11.67</v>
      </c>
      <c r="J268">
        <v>-0.99</v>
      </c>
      <c r="K268">
        <v>22.84</v>
      </c>
      <c r="L268">
        <v>21.98</v>
      </c>
      <c r="M268" s="1">
        <v>0.72299999999999998</v>
      </c>
      <c r="N268" s="1">
        <v>1.6073999999999999</v>
      </c>
      <c r="O268">
        <v>1.32</v>
      </c>
      <c r="P268" s="1">
        <v>2.6599999999999999E-2</v>
      </c>
      <c r="Q268" s="1">
        <v>0.1002</v>
      </c>
      <c r="R268" s="3">
        <v>6169090</v>
      </c>
      <c r="S268" s="3">
        <v>3832180000</v>
      </c>
      <c r="T268">
        <v>0.66</v>
      </c>
      <c r="U268" s="1">
        <v>0.1125</v>
      </c>
      <c r="V268" s="4">
        <f t="shared" si="20"/>
        <v>7.9333333333333339E-3</v>
      </c>
      <c r="W268" s="5">
        <f t="shared" si="21"/>
        <v>4.5537333333333339E-2</v>
      </c>
      <c r="X268">
        <f t="shared" si="22"/>
        <v>128</v>
      </c>
      <c r="Y268" s="5">
        <f t="shared" si="23"/>
        <v>734.72</v>
      </c>
      <c r="Z268" s="5">
        <f t="shared" si="24"/>
        <v>5.8287786666666674</v>
      </c>
    </row>
    <row r="269" spans="1:26" x14ac:dyDescent="0.3">
      <c r="A269" t="s">
        <v>1108</v>
      </c>
      <c r="B269" s="5">
        <f>VLOOKUP(A269,Dim!A:B,2)</f>
        <v>22.54</v>
      </c>
      <c r="C269">
        <v>5.26</v>
      </c>
      <c r="D269">
        <v>0.54</v>
      </c>
      <c r="E269">
        <v>0</v>
      </c>
      <c r="F269" s="1">
        <v>8.77E-2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 s="1">
        <v>0</v>
      </c>
      <c r="N269" s="1">
        <v>0</v>
      </c>
      <c r="O269">
        <v>0</v>
      </c>
      <c r="P269" s="1">
        <v>0</v>
      </c>
      <c r="Q269" s="1">
        <v>0.1033</v>
      </c>
      <c r="R269" s="3">
        <v>97618.4</v>
      </c>
      <c r="S269" s="3">
        <v>10645700000</v>
      </c>
      <c r="T269">
        <v>0</v>
      </c>
      <c r="U269" s="1">
        <v>4.6399999999999997E-2</v>
      </c>
      <c r="V269" s="4">
        <f t="shared" si="20"/>
        <v>7.3083333333333333E-3</v>
      </c>
      <c r="W269" s="5">
        <f t="shared" si="21"/>
        <v>0.16472983333333333</v>
      </c>
      <c r="X269">
        <f t="shared" si="22"/>
        <v>138</v>
      </c>
      <c r="Y269" s="5">
        <f t="shared" si="23"/>
        <v>3110.52</v>
      </c>
      <c r="Z269" s="5">
        <f t="shared" si="24"/>
        <v>22.732716999999997</v>
      </c>
    </row>
    <row r="270" spans="1:26" x14ac:dyDescent="0.3">
      <c r="A270" t="s">
        <v>1107</v>
      </c>
      <c r="B270" s="5">
        <f>VLOOKUP(A270,Dim!A:B,2)</f>
        <v>5.74</v>
      </c>
      <c r="C270">
        <v>5.26</v>
      </c>
      <c r="D270">
        <v>0.96</v>
      </c>
      <c r="E270">
        <v>1.113</v>
      </c>
      <c r="F270" s="1">
        <v>4.4600000000000001E-2</v>
      </c>
      <c r="G270">
        <v>0.39700000000000002</v>
      </c>
      <c r="H270">
        <v>-34.71</v>
      </c>
      <c r="I270">
        <v>3.26</v>
      </c>
      <c r="J270">
        <v>-0.95</v>
      </c>
      <c r="K270">
        <v>5.26</v>
      </c>
      <c r="L270">
        <v>3.65</v>
      </c>
      <c r="M270" s="1">
        <v>0.34110000000000001</v>
      </c>
      <c r="N270" s="1">
        <v>0.21149999999999999</v>
      </c>
      <c r="O270">
        <v>0.94</v>
      </c>
      <c r="P270" s="1">
        <v>0.14269999999999999</v>
      </c>
      <c r="Q270" s="1">
        <v>0.18340000000000001</v>
      </c>
      <c r="R270">
        <v>400.05</v>
      </c>
      <c r="S270" s="3">
        <v>8230910000</v>
      </c>
      <c r="T270">
        <v>0.87</v>
      </c>
      <c r="U270" s="1">
        <v>0.15870000000000001</v>
      </c>
      <c r="V270" s="4">
        <f t="shared" si="20"/>
        <v>3.7166666666666667E-3</v>
      </c>
      <c r="W270" s="5">
        <f t="shared" si="21"/>
        <v>2.1333666666666667E-2</v>
      </c>
      <c r="X270">
        <f t="shared" si="22"/>
        <v>271</v>
      </c>
      <c r="Y270" s="5">
        <f t="shared" si="23"/>
        <v>1555.54</v>
      </c>
      <c r="Z270" s="5">
        <f t="shared" si="24"/>
        <v>5.781423666666667</v>
      </c>
    </row>
    <row r="271" spans="1:26" x14ac:dyDescent="0.3">
      <c r="A271" t="s">
        <v>1107</v>
      </c>
      <c r="B271" s="5">
        <f>VLOOKUP(A271,Dim!A:B,2)</f>
        <v>5.74</v>
      </c>
      <c r="C271">
        <v>5.26</v>
      </c>
      <c r="D271">
        <v>0.96</v>
      </c>
      <c r="E271">
        <v>1.113</v>
      </c>
      <c r="F271" s="1">
        <v>4.4600000000000001E-2</v>
      </c>
      <c r="G271">
        <v>0.39700000000000002</v>
      </c>
      <c r="H271">
        <v>-34.71</v>
      </c>
      <c r="I271">
        <v>3.26</v>
      </c>
      <c r="J271">
        <v>-0.95</v>
      </c>
      <c r="K271">
        <v>5.26</v>
      </c>
      <c r="L271">
        <v>3.65</v>
      </c>
      <c r="M271" s="1">
        <v>0.34110000000000001</v>
      </c>
      <c r="N271" s="1">
        <v>0.21149999999999999</v>
      </c>
      <c r="O271">
        <v>0.94</v>
      </c>
      <c r="P271" s="1">
        <v>0.14269999999999999</v>
      </c>
      <c r="Q271" s="1">
        <v>0.18340000000000001</v>
      </c>
      <c r="R271">
        <v>400.05</v>
      </c>
      <c r="S271" s="3">
        <v>8230910000</v>
      </c>
      <c r="T271">
        <v>0.87</v>
      </c>
      <c r="U271" s="1">
        <v>0.15870000000000001</v>
      </c>
      <c r="V271" s="4">
        <f t="shared" si="20"/>
        <v>3.7166666666666667E-3</v>
      </c>
      <c r="W271" s="5">
        <f t="shared" si="21"/>
        <v>2.1333666666666667E-2</v>
      </c>
      <c r="X271">
        <f t="shared" si="22"/>
        <v>271</v>
      </c>
      <c r="Y271" s="5">
        <f t="shared" si="23"/>
        <v>1555.54</v>
      </c>
      <c r="Z271" s="5">
        <f t="shared" si="24"/>
        <v>5.781423666666667</v>
      </c>
    </row>
    <row r="272" spans="1:26" x14ac:dyDescent="0.3">
      <c r="A272" t="s">
        <v>1106</v>
      </c>
      <c r="B272" s="5">
        <f>VLOOKUP(A272,Dim!A:B,2)</f>
        <v>5.74</v>
      </c>
      <c r="C272">
        <v>5.26</v>
      </c>
      <c r="D272">
        <v>0.96</v>
      </c>
      <c r="E272">
        <v>1.113</v>
      </c>
      <c r="F272" s="1">
        <v>4.4600000000000001E-2</v>
      </c>
      <c r="G272">
        <v>0.39700000000000002</v>
      </c>
      <c r="H272">
        <v>-34.71</v>
      </c>
      <c r="I272">
        <v>3.26</v>
      </c>
      <c r="J272">
        <v>-0.95</v>
      </c>
      <c r="K272">
        <v>5.26</v>
      </c>
      <c r="L272">
        <v>3.65</v>
      </c>
      <c r="M272" s="1">
        <v>0.34110000000000001</v>
      </c>
      <c r="N272" s="1">
        <v>0.21149999999999999</v>
      </c>
      <c r="O272">
        <v>0.94</v>
      </c>
      <c r="P272" s="1">
        <v>0.14269999999999999</v>
      </c>
      <c r="Q272" s="1">
        <v>0.18340000000000001</v>
      </c>
      <c r="R272">
        <v>562.21</v>
      </c>
      <c r="S272" s="3">
        <v>8230910000</v>
      </c>
      <c r="T272">
        <v>0.87</v>
      </c>
      <c r="U272" s="1">
        <v>0.15870000000000001</v>
      </c>
      <c r="V272" s="4">
        <f t="shared" si="20"/>
        <v>3.7166666666666667E-3</v>
      </c>
      <c r="W272" s="5">
        <f t="shared" si="21"/>
        <v>2.1333666666666667E-2</v>
      </c>
      <c r="X272">
        <f t="shared" si="22"/>
        <v>271</v>
      </c>
      <c r="Y272" s="5">
        <f t="shared" si="23"/>
        <v>1555.54</v>
      </c>
      <c r="Z272" s="5">
        <f t="shared" si="24"/>
        <v>5.781423666666667</v>
      </c>
    </row>
    <row r="273" spans="1:26" x14ac:dyDescent="0.3">
      <c r="A273" t="s">
        <v>1106</v>
      </c>
      <c r="B273" s="5">
        <f>VLOOKUP(A273,Dim!A:B,2)</f>
        <v>5.74</v>
      </c>
      <c r="C273">
        <v>5.26</v>
      </c>
      <c r="D273">
        <v>0.96</v>
      </c>
      <c r="E273">
        <v>1.113</v>
      </c>
      <c r="F273" s="1">
        <v>4.4600000000000001E-2</v>
      </c>
      <c r="G273">
        <v>0.39700000000000002</v>
      </c>
      <c r="H273">
        <v>-34.71</v>
      </c>
      <c r="I273">
        <v>3.26</v>
      </c>
      <c r="J273">
        <v>-0.95</v>
      </c>
      <c r="K273">
        <v>5.26</v>
      </c>
      <c r="L273">
        <v>3.65</v>
      </c>
      <c r="M273" s="1">
        <v>0.34110000000000001</v>
      </c>
      <c r="N273" s="1">
        <v>0.21149999999999999</v>
      </c>
      <c r="O273">
        <v>0.94</v>
      </c>
      <c r="P273" s="1">
        <v>0.14269999999999999</v>
      </c>
      <c r="Q273" s="1">
        <v>0.18340000000000001</v>
      </c>
      <c r="R273">
        <v>562.21</v>
      </c>
      <c r="S273" s="3">
        <v>8230910000</v>
      </c>
      <c r="T273">
        <v>0.87</v>
      </c>
      <c r="U273" s="1">
        <v>0.15870000000000001</v>
      </c>
      <c r="V273" s="4">
        <f t="shared" si="20"/>
        <v>3.7166666666666667E-3</v>
      </c>
      <c r="W273" s="5">
        <f t="shared" si="21"/>
        <v>2.1333666666666667E-2</v>
      </c>
      <c r="X273">
        <f t="shared" si="22"/>
        <v>271</v>
      </c>
      <c r="Y273" s="5">
        <f t="shared" si="23"/>
        <v>1555.54</v>
      </c>
      <c r="Z273" s="5">
        <f t="shared" si="24"/>
        <v>5.781423666666667</v>
      </c>
    </row>
    <row r="274" spans="1:26" x14ac:dyDescent="0.3">
      <c r="A274" t="s">
        <v>770</v>
      </c>
      <c r="B274" s="5">
        <f>VLOOKUP(A274,Dim!A:B,2)</f>
        <v>0</v>
      </c>
      <c r="C274">
        <v>-2.5499999999999998</v>
      </c>
      <c r="D274">
        <v>0.22</v>
      </c>
      <c r="E274">
        <v>0.16500000000000001</v>
      </c>
      <c r="F274" s="1">
        <v>5.3999999999999999E-2</v>
      </c>
      <c r="G274">
        <v>7.2999999999999995E-2</v>
      </c>
      <c r="H274">
        <v>-0.19</v>
      </c>
      <c r="I274">
        <v>1.49</v>
      </c>
      <c r="J274">
        <v>-0.12</v>
      </c>
      <c r="K274">
        <v>11.11</v>
      </c>
      <c r="L274">
        <v>3.87</v>
      </c>
      <c r="M274" s="1">
        <v>0.1109</v>
      </c>
      <c r="N274" s="1">
        <v>-0.09</v>
      </c>
      <c r="O274">
        <v>0.16</v>
      </c>
      <c r="P274" s="1">
        <v>5.21E-2</v>
      </c>
      <c r="Q274" s="1">
        <v>-8.5699999999999998E-2</v>
      </c>
      <c r="R274" s="3">
        <v>76919.7</v>
      </c>
      <c r="S274" s="3">
        <v>859637000</v>
      </c>
      <c r="T274">
        <v>1.5</v>
      </c>
      <c r="U274" s="1">
        <v>3.0499999999999999E-2</v>
      </c>
      <c r="V274" s="4">
        <f t="shared" si="20"/>
        <v>4.4999999999999997E-3</v>
      </c>
      <c r="W274" s="5">
        <f t="shared" si="21"/>
        <v>0</v>
      </c>
      <c r="X274" t="e">
        <f t="shared" si="22"/>
        <v>#DIV/0!</v>
      </c>
      <c r="Y274" s="5" t="e">
        <f t="shared" si="23"/>
        <v>#DIV/0!</v>
      </c>
      <c r="Z274" s="5" t="e">
        <f t="shared" si="24"/>
        <v>#DIV/0!</v>
      </c>
    </row>
    <row r="275" spans="1:26" x14ac:dyDescent="0.3">
      <c r="A275" t="s">
        <v>714</v>
      </c>
      <c r="B275" s="5">
        <f>VLOOKUP(A275,Dim!A:B,2)</f>
        <v>0</v>
      </c>
      <c r="C275">
        <v>-10.39</v>
      </c>
      <c r="D275">
        <v>1.18</v>
      </c>
      <c r="E275">
        <v>9.2999999999999999E-2</v>
      </c>
      <c r="F275" s="1">
        <v>1.55E-2</v>
      </c>
      <c r="G275">
        <v>4.7E-2</v>
      </c>
      <c r="H275">
        <v>0.43</v>
      </c>
      <c r="I275">
        <v>0.54</v>
      </c>
      <c r="J275">
        <v>-0.08</v>
      </c>
      <c r="K275">
        <v>6.82</v>
      </c>
      <c r="L275">
        <v>4.3099999999999996</v>
      </c>
      <c r="M275" s="1">
        <v>0.1719</v>
      </c>
      <c r="N275" s="1">
        <v>-4.4000000000000003E-3</v>
      </c>
      <c r="O275">
        <v>1.46</v>
      </c>
      <c r="P275" s="1">
        <v>0.1137</v>
      </c>
      <c r="Q275" s="1">
        <v>-0.11360000000000001</v>
      </c>
      <c r="R275" s="3">
        <v>23696600</v>
      </c>
      <c r="S275" s="3">
        <v>3359090000</v>
      </c>
      <c r="T275">
        <v>17.420000000000002</v>
      </c>
      <c r="U275" s="1">
        <v>0.40460000000000002</v>
      </c>
      <c r="V275" s="4">
        <f t="shared" si="20"/>
        <v>1.2916666666666667E-3</v>
      </c>
      <c r="W275" s="5">
        <f t="shared" si="21"/>
        <v>0</v>
      </c>
      <c r="X275" t="e">
        <f t="shared" si="22"/>
        <v>#DIV/0!</v>
      </c>
      <c r="Y275" s="5" t="e">
        <f t="shared" si="23"/>
        <v>#DIV/0!</v>
      </c>
      <c r="Z275" s="5" t="e">
        <f t="shared" si="24"/>
        <v>#DIV/0!</v>
      </c>
    </row>
    <row r="276" spans="1:26" x14ac:dyDescent="0.3">
      <c r="A276" t="s">
        <v>1104</v>
      </c>
      <c r="B276" s="5">
        <f>VLOOKUP(A276,Dim!A:B,2)</f>
        <v>58</v>
      </c>
      <c r="C276">
        <v>5.19</v>
      </c>
      <c r="D276">
        <v>2.23</v>
      </c>
      <c r="E276">
        <v>0</v>
      </c>
      <c r="F276" s="1">
        <v>2.46E-2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 s="1">
        <v>0</v>
      </c>
      <c r="N276" s="1">
        <v>0</v>
      </c>
      <c r="O276">
        <v>0</v>
      </c>
      <c r="P276" s="1">
        <v>0</v>
      </c>
      <c r="Q276" s="1">
        <v>0.43020000000000003</v>
      </c>
      <c r="R276" s="3">
        <v>13168.7</v>
      </c>
      <c r="S276" s="3">
        <v>2068030000</v>
      </c>
      <c r="T276">
        <v>0</v>
      </c>
      <c r="U276" s="1">
        <v>0.21629999999999999</v>
      </c>
      <c r="V276" s="4">
        <f t="shared" si="20"/>
        <v>2.0500000000000002E-3</v>
      </c>
      <c r="W276" s="5">
        <f t="shared" si="21"/>
        <v>0.11890000000000001</v>
      </c>
      <c r="X276">
        <f t="shared" si="22"/>
        <v>489</v>
      </c>
      <c r="Y276" s="5">
        <f t="shared" si="23"/>
        <v>28362</v>
      </c>
      <c r="Z276" s="5">
        <f t="shared" si="24"/>
        <v>58.142099999999999</v>
      </c>
    </row>
    <row r="277" spans="1:26" x14ac:dyDescent="0.3">
      <c r="A277" t="s">
        <v>1103</v>
      </c>
      <c r="B277" s="5">
        <f>VLOOKUP(A277,Dim!A:B,2)</f>
        <v>18.149999999999999</v>
      </c>
      <c r="C277">
        <v>5.18</v>
      </c>
      <c r="D277">
        <v>1.26</v>
      </c>
      <c r="E277">
        <v>0.58799999999999997</v>
      </c>
      <c r="F277" s="1">
        <v>4.9799999999999997E-2</v>
      </c>
      <c r="G277">
        <v>0.32300000000000001</v>
      </c>
      <c r="H277">
        <v>-36.6</v>
      </c>
      <c r="I277">
        <v>2.39</v>
      </c>
      <c r="J277">
        <v>-0.56999999999999995</v>
      </c>
      <c r="K277">
        <v>5.89</v>
      </c>
      <c r="L277">
        <v>4.78</v>
      </c>
      <c r="M277" s="1">
        <v>0.2462</v>
      </c>
      <c r="N277" s="1">
        <v>0.11360000000000001</v>
      </c>
      <c r="O277">
        <v>0.95</v>
      </c>
      <c r="P277" s="1">
        <v>0.14599999999999999</v>
      </c>
      <c r="Q277" s="1">
        <v>0.24329999999999999</v>
      </c>
      <c r="R277" s="3">
        <v>218239</v>
      </c>
      <c r="S277" s="3">
        <v>8568000000</v>
      </c>
      <c r="T277">
        <v>1.98</v>
      </c>
      <c r="U277" s="1">
        <v>6.2799999999999995E-2</v>
      </c>
      <c r="V277" s="4">
        <f t="shared" si="20"/>
        <v>4.15E-3</v>
      </c>
      <c r="W277" s="5">
        <f t="shared" si="21"/>
        <v>7.5322500000000001E-2</v>
      </c>
      <c r="X277">
        <f t="shared" si="22"/>
        <v>242</v>
      </c>
      <c r="Y277" s="5">
        <f t="shared" si="23"/>
        <v>4392.2999999999993</v>
      </c>
      <c r="Z277" s="5">
        <f t="shared" si="24"/>
        <v>18.228045000000002</v>
      </c>
    </row>
    <row r="278" spans="1:26" x14ac:dyDescent="0.3">
      <c r="A278" t="s">
        <v>1102</v>
      </c>
      <c r="B278" s="5">
        <f>VLOOKUP(A278,Dim!A:B,2)</f>
        <v>29.49</v>
      </c>
      <c r="C278">
        <v>5.07</v>
      </c>
      <c r="D278">
        <v>1.38</v>
      </c>
      <c r="E278">
        <v>1.163</v>
      </c>
      <c r="F278" s="1">
        <v>8.9200000000000002E-2</v>
      </c>
      <c r="G278">
        <v>0.52100000000000002</v>
      </c>
      <c r="H278">
        <v>2.34</v>
      </c>
      <c r="I278">
        <v>4.43</v>
      </c>
      <c r="J278">
        <v>-1.78</v>
      </c>
      <c r="K278">
        <v>7.03</v>
      </c>
      <c r="L278">
        <v>4.8099999999999996</v>
      </c>
      <c r="M278" s="1">
        <v>0.2626</v>
      </c>
      <c r="N278" s="1">
        <v>0.22919999999999999</v>
      </c>
      <c r="O278">
        <v>3.08</v>
      </c>
      <c r="P278" s="1">
        <v>0.14749999999999999</v>
      </c>
      <c r="Q278" s="1">
        <v>0.27200000000000002</v>
      </c>
      <c r="R278" s="3">
        <v>5907320</v>
      </c>
      <c r="S278" s="3">
        <v>1422130000</v>
      </c>
      <c r="T278">
        <v>1.25</v>
      </c>
      <c r="U278" s="1">
        <v>4.4400000000000002E-2</v>
      </c>
      <c r="V278" s="4">
        <f t="shared" si="20"/>
        <v>7.4333333333333335E-3</v>
      </c>
      <c r="W278" s="5">
        <f t="shared" si="21"/>
        <v>0.21920899999999999</v>
      </c>
      <c r="X278">
        <f t="shared" si="22"/>
        <v>136</v>
      </c>
      <c r="Y278" s="5">
        <f t="shared" si="23"/>
        <v>4010.64</v>
      </c>
      <c r="Z278" s="5">
        <f t="shared" si="24"/>
        <v>29.812424</v>
      </c>
    </row>
    <row r="279" spans="1:26" x14ac:dyDescent="0.3">
      <c r="A279" t="s">
        <v>1101</v>
      </c>
      <c r="B279" s="5">
        <f>VLOOKUP(A279,Dim!A:B,2)</f>
        <v>3.95</v>
      </c>
      <c r="C279">
        <v>5.0199999999999996</v>
      </c>
      <c r="D279">
        <v>0.62</v>
      </c>
      <c r="E279">
        <v>0</v>
      </c>
      <c r="F279" s="1">
        <v>8.0500000000000002E-2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 s="1">
        <v>0</v>
      </c>
      <c r="N279" s="1">
        <v>0</v>
      </c>
      <c r="O279">
        <v>0</v>
      </c>
      <c r="P279" s="1">
        <v>0</v>
      </c>
      <c r="Q279" s="1">
        <v>0.123</v>
      </c>
      <c r="R279" s="3">
        <v>1703160</v>
      </c>
      <c r="S279" s="3">
        <v>3731050000</v>
      </c>
      <c r="T279">
        <v>0</v>
      </c>
      <c r="U279" s="1">
        <v>-1.37E-2</v>
      </c>
      <c r="V279" s="4">
        <f t="shared" si="20"/>
        <v>6.7083333333333335E-3</v>
      </c>
      <c r="W279" s="5">
        <f t="shared" si="21"/>
        <v>2.649791666666667E-2</v>
      </c>
      <c r="X279">
        <f t="shared" si="22"/>
        <v>151</v>
      </c>
      <c r="Y279" s="5">
        <f t="shared" si="23"/>
        <v>596.45000000000005</v>
      </c>
      <c r="Z279" s="5">
        <f t="shared" si="24"/>
        <v>4.0011854166666669</v>
      </c>
    </row>
    <row r="280" spans="1:26" x14ac:dyDescent="0.3">
      <c r="A280" t="s">
        <v>1100</v>
      </c>
      <c r="B280" s="5">
        <f>VLOOKUP(A280,Dim!A:B,2)</f>
        <v>29.49</v>
      </c>
      <c r="C280">
        <v>5</v>
      </c>
      <c r="D280">
        <v>0.97</v>
      </c>
      <c r="E280">
        <v>0.78500000000000003</v>
      </c>
      <c r="F280" s="1">
        <v>0.1734</v>
      </c>
      <c r="G280">
        <v>0.32900000000000001</v>
      </c>
      <c r="H280">
        <v>-8.93</v>
      </c>
      <c r="I280">
        <v>1.88</v>
      </c>
      <c r="J280">
        <v>-0.61</v>
      </c>
      <c r="K280">
        <v>3.44</v>
      </c>
      <c r="L280">
        <v>2.5299999999999998</v>
      </c>
      <c r="M280" s="1">
        <v>0.41670000000000001</v>
      </c>
      <c r="N280" s="1">
        <v>0.1578</v>
      </c>
      <c r="O280">
        <v>0.76</v>
      </c>
      <c r="P280" s="1">
        <v>0.18870000000000001</v>
      </c>
      <c r="Q280" s="1">
        <v>0.1938</v>
      </c>
      <c r="R280" s="3">
        <v>875182000</v>
      </c>
      <c r="S280" s="3">
        <v>399222000000</v>
      </c>
      <c r="T280">
        <v>0.93</v>
      </c>
      <c r="U280" s="1">
        <v>6.1699999999999998E-2</v>
      </c>
      <c r="V280" s="4">
        <f t="shared" si="20"/>
        <v>1.4449999999999999E-2</v>
      </c>
      <c r="W280" s="5">
        <f t="shared" si="21"/>
        <v>0.42613049999999997</v>
      </c>
      <c r="X280">
        <f t="shared" si="22"/>
        <v>71</v>
      </c>
      <c r="Y280" s="5">
        <f t="shared" si="23"/>
        <v>2093.79</v>
      </c>
      <c r="Z280" s="5">
        <f t="shared" si="24"/>
        <v>30.255265499999997</v>
      </c>
    </row>
    <row r="281" spans="1:26" x14ac:dyDescent="0.3">
      <c r="A281" t="s">
        <v>1099</v>
      </c>
      <c r="B281" s="5">
        <f>VLOOKUP(A281,Dim!A:B,2)</f>
        <v>58</v>
      </c>
      <c r="C281">
        <v>4.99</v>
      </c>
      <c r="D281">
        <v>0.71</v>
      </c>
      <c r="E281">
        <v>0</v>
      </c>
      <c r="F281" s="1">
        <v>9.8199999999999996E-2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 s="1">
        <v>0</v>
      </c>
      <c r="N281" s="1">
        <v>0</v>
      </c>
      <c r="O281">
        <v>0</v>
      </c>
      <c r="P281" s="1">
        <v>0</v>
      </c>
      <c r="Q281" s="1">
        <v>0.1419</v>
      </c>
      <c r="R281" s="3">
        <v>63693.2</v>
      </c>
      <c r="S281" s="3">
        <v>838361000</v>
      </c>
      <c r="T281">
        <v>0</v>
      </c>
      <c r="U281" s="1">
        <v>3.32E-2</v>
      </c>
      <c r="V281" s="4">
        <f t="shared" si="20"/>
        <v>8.1833333333333324E-3</v>
      </c>
      <c r="W281" s="5">
        <f t="shared" si="21"/>
        <v>0.4746333333333333</v>
      </c>
      <c r="X281">
        <f t="shared" si="22"/>
        <v>124</v>
      </c>
      <c r="Y281" s="5">
        <f t="shared" si="23"/>
        <v>7192</v>
      </c>
      <c r="Z281" s="5">
        <f t="shared" si="24"/>
        <v>58.854533333333329</v>
      </c>
    </row>
    <row r="282" spans="1:26" x14ac:dyDescent="0.3">
      <c r="A282" t="s">
        <v>1097</v>
      </c>
      <c r="B282" s="5">
        <f>VLOOKUP(A282,Dim!A:B,2)</f>
        <v>22.54</v>
      </c>
      <c r="C282">
        <v>4.9800000000000004</v>
      </c>
      <c r="D282">
        <v>0.51</v>
      </c>
      <c r="E282">
        <v>0</v>
      </c>
      <c r="F282" s="1">
        <v>9.2799999999999994E-2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 s="1">
        <v>0</v>
      </c>
      <c r="N282" s="1">
        <v>0</v>
      </c>
      <c r="O282">
        <v>0</v>
      </c>
      <c r="P282" s="1">
        <v>0</v>
      </c>
      <c r="Q282" s="1">
        <v>0.1033</v>
      </c>
      <c r="R282" s="3">
        <v>13019600</v>
      </c>
      <c r="S282" s="3">
        <v>10645700000</v>
      </c>
      <c r="T282">
        <v>0</v>
      </c>
      <c r="U282" s="1">
        <v>4.6399999999999997E-2</v>
      </c>
      <c r="V282" s="4">
        <f t="shared" si="20"/>
        <v>7.7333333333333325E-3</v>
      </c>
      <c r="W282" s="5">
        <f t="shared" si="21"/>
        <v>0.17430933333333332</v>
      </c>
      <c r="X282">
        <f t="shared" si="22"/>
        <v>131</v>
      </c>
      <c r="Y282" s="5">
        <f t="shared" si="23"/>
        <v>2952.74</v>
      </c>
      <c r="Z282" s="5">
        <f t="shared" si="24"/>
        <v>22.834522666666665</v>
      </c>
    </row>
    <row r="283" spans="1:26" x14ac:dyDescent="0.3">
      <c r="A283" t="s">
        <v>1098</v>
      </c>
      <c r="B283" s="5">
        <f>VLOOKUP(A283,Dim!A:B,2)</f>
        <v>18.149999999999999</v>
      </c>
      <c r="C283">
        <v>4.9800000000000004</v>
      </c>
      <c r="D283">
        <v>0.41</v>
      </c>
      <c r="E283">
        <v>0.371</v>
      </c>
      <c r="F283" s="1">
        <v>4.65E-2</v>
      </c>
      <c r="G283">
        <v>0.17199999999999999</v>
      </c>
      <c r="H283">
        <v>-0.96</v>
      </c>
      <c r="I283">
        <v>3.13</v>
      </c>
      <c r="J283">
        <v>-0.46</v>
      </c>
      <c r="K283">
        <v>7.37</v>
      </c>
      <c r="L283">
        <v>4.01</v>
      </c>
      <c r="M283" s="1">
        <v>0.1186</v>
      </c>
      <c r="N283" s="1">
        <v>7.46E-2</v>
      </c>
      <c r="O283">
        <v>0.53</v>
      </c>
      <c r="P283" s="1">
        <v>5.9799999999999999E-2</v>
      </c>
      <c r="Q283" s="1">
        <v>8.1799999999999998E-2</v>
      </c>
      <c r="R283">
        <v>584.63</v>
      </c>
      <c r="S283" s="3">
        <v>8414670000</v>
      </c>
      <c r="T283">
        <v>0.57999999999999996</v>
      </c>
      <c r="U283" s="1">
        <v>4.9700000000000001E-2</v>
      </c>
      <c r="V283" s="4">
        <f t="shared" si="20"/>
        <v>3.875E-3</v>
      </c>
      <c r="W283" s="5">
        <f t="shared" si="21"/>
        <v>7.0331249999999998E-2</v>
      </c>
      <c r="X283">
        <f t="shared" si="22"/>
        <v>260</v>
      </c>
      <c r="Y283" s="5">
        <f t="shared" si="23"/>
        <v>4719</v>
      </c>
      <c r="Z283" s="5">
        <f t="shared" si="24"/>
        <v>18.286124999999998</v>
      </c>
    </row>
    <row r="284" spans="1:26" x14ac:dyDescent="0.3">
      <c r="A284" t="s">
        <v>1095</v>
      </c>
      <c r="B284" s="5">
        <f>VLOOKUP(A284,Dim!A:B,2)</f>
        <v>106.55</v>
      </c>
      <c r="C284">
        <v>4.8899999999999997</v>
      </c>
      <c r="D284">
        <v>1.1200000000000001</v>
      </c>
      <c r="E284">
        <v>0.75800000000000001</v>
      </c>
      <c r="F284" s="1">
        <v>7.46E-2</v>
      </c>
      <c r="G284">
        <v>0.502</v>
      </c>
      <c r="H284">
        <v>-522.66</v>
      </c>
      <c r="I284">
        <v>4.7300000000000004</v>
      </c>
      <c r="J284">
        <v>-1.49</v>
      </c>
      <c r="K284">
        <v>6.56</v>
      </c>
      <c r="L284">
        <v>5.4</v>
      </c>
      <c r="M284" s="1">
        <v>0.1603</v>
      </c>
      <c r="N284" s="1">
        <v>0.155</v>
      </c>
      <c r="O284">
        <v>1</v>
      </c>
      <c r="P284" s="1">
        <v>0.1173</v>
      </c>
      <c r="Q284" s="1">
        <v>0.22839999999999999</v>
      </c>
      <c r="R284" s="3">
        <v>98176300</v>
      </c>
      <c r="S284" s="3">
        <v>28473200000</v>
      </c>
      <c r="T284">
        <v>0.54</v>
      </c>
      <c r="U284" s="1">
        <v>9.4500000000000001E-2</v>
      </c>
      <c r="V284" s="4">
        <f t="shared" si="20"/>
        <v>6.2166666666666663E-3</v>
      </c>
      <c r="W284" s="5">
        <f t="shared" si="21"/>
        <v>0.66238583333333323</v>
      </c>
      <c r="X284">
        <f t="shared" si="22"/>
        <v>162</v>
      </c>
      <c r="Y284" s="5">
        <f t="shared" si="23"/>
        <v>17261.099999999999</v>
      </c>
      <c r="Z284" s="5">
        <f t="shared" si="24"/>
        <v>107.30650499999999</v>
      </c>
    </row>
    <row r="285" spans="1:26" x14ac:dyDescent="0.3">
      <c r="A285" t="s">
        <v>1082</v>
      </c>
      <c r="B285" s="5">
        <f>VLOOKUP(A285,Dim!A:B,2)</f>
        <v>58</v>
      </c>
      <c r="C285">
        <v>4.43</v>
      </c>
      <c r="D285">
        <v>0.7</v>
      </c>
      <c r="E285">
        <v>0</v>
      </c>
      <c r="F285" s="1">
        <v>8.1100000000000005E-2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 s="1">
        <v>0</v>
      </c>
      <c r="N285" s="1">
        <v>0</v>
      </c>
      <c r="O285">
        <v>0</v>
      </c>
      <c r="P285" s="1">
        <v>0</v>
      </c>
      <c r="Q285" s="1">
        <v>0.15720000000000001</v>
      </c>
      <c r="R285" s="3">
        <v>654041000</v>
      </c>
      <c r="S285" s="3">
        <v>174734000000</v>
      </c>
      <c r="T285">
        <v>0</v>
      </c>
      <c r="U285" s="1">
        <v>7.0900000000000005E-2</v>
      </c>
      <c r="V285" s="4">
        <f t="shared" si="20"/>
        <v>6.7583333333333341E-3</v>
      </c>
      <c r="W285" s="5">
        <f t="shared" si="21"/>
        <v>0.39198333333333335</v>
      </c>
      <c r="X285">
        <f t="shared" si="22"/>
        <v>149</v>
      </c>
      <c r="Y285" s="5">
        <f t="shared" si="23"/>
        <v>8642</v>
      </c>
      <c r="Z285" s="5">
        <f t="shared" si="24"/>
        <v>58.405516666666671</v>
      </c>
    </row>
    <row r="286" spans="1:26" x14ac:dyDescent="0.3">
      <c r="A286" t="s">
        <v>1073</v>
      </c>
      <c r="B286" s="5">
        <f>VLOOKUP(A286,Dim!A:B,2)</f>
        <v>5.74</v>
      </c>
      <c r="C286">
        <v>3.86</v>
      </c>
      <c r="D286">
        <v>0.74</v>
      </c>
      <c r="E286">
        <v>2.4260000000000002</v>
      </c>
      <c r="F286" s="1">
        <v>6.2300000000000001E-2</v>
      </c>
      <c r="G286">
        <v>0.28499999999999998</v>
      </c>
      <c r="H286">
        <v>1.33</v>
      </c>
      <c r="I286">
        <v>6.9</v>
      </c>
      <c r="J286">
        <v>-1.26</v>
      </c>
      <c r="K286">
        <v>12.17</v>
      </c>
      <c r="L286">
        <v>11</v>
      </c>
      <c r="M286" s="1">
        <v>0.35149999999999998</v>
      </c>
      <c r="N286" s="1">
        <v>0.62539999999999996</v>
      </c>
      <c r="O286">
        <v>2.48</v>
      </c>
      <c r="P286" s="1">
        <v>4.82E-2</v>
      </c>
      <c r="Q286" s="1">
        <v>0.1908</v>
      </c>
      <c r="R286" s="3">
        <v>26005000</v>
      </c>
      <c r="S286" s="3">
        <v>5988660000</v>
      </c>
      <c r="T286">
        <v>0.93</v>
      </c>
      <c r="U286" s="1">
        <v>-2.0899999999999998E-2</v>
      </c>
      <c r="V286" s="4">
        <f t="shared" si="20"/>
        <v>5.1916666666666665E-3</v>
      </c>
      <c r="W286" s="5">
        <f t="shared" si="21"/>
        <v>2.9800166666666666E-2</v>
      </c>
      <c r="X286">
        <f t="shared" si="22"/>
        <v>194</v>
      </c>
      <c r="Y286" s="5">
        <f t="shared" si="23"/>
        <v>1113.56</v>
      </c>
      <c r="Z286" s="5">
        <f t="shared" si="24"/>
        <v>5.7812323333333335</v>
      </c>
    </row>
    <row r="287" spans="1:26" x14ac:dyDescent="0.3">
      <c r="A287" t="s">
        <v>1069</v>
      </c>
      <c r="B287" s="5">
        <f>VLOOKUP(A287,Dim!A:B,2)</f>
        <v>58</v>
      </c>
      <c r="C287">
        <v>3.7</v>
      </c>
      <c r="D287">
        <v>0.61</v>
      </c>
      <c r="E287">
        <v>0</v>
      </c>
      <c r="F287" s="1">
        <v>0.1036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 s="1">
        <v>0</v>
      </c>
      <c r="N287" s="1">
        <v>0</v>
      </c>
      <c r="O287">
        <v>0</v>
      </c>
      <c r="P287" s="1">
        <v>0</v>
      </c>
      <c r="Q287" s="1">
        <v>0.16619999999999999</v>
      </c>
      <c r="R287" s="3">
        <v>410908</v>
      </c>
      <c r="S287" s="3">
        <v>7028040000</v>
      </c>
      <c r="T287">
        <v>0</v>
      </c>
      <c r="U287" s="1">
        <v>0.14299999999999999</v>
      </c>
      <c r="V287" s="4">
        <f t="shared" si="20"/>
        <v>8.6333333333333331E-3</v>
      </c>
      <c r="W287" s="5">
        <f t="shared" si="21"/>
        <v>0.50073333333333336</v>
      </c>
      <c r="X287">
        <f t="shared" si="22"/>
        <v>117</v>
      </c>
      <c r="Y287" s="5">
        <f t="shared" si="23"/>
        <v>6786</v>
      </c>
      <c r="Z287" s="5">
        <f t="shared" si="24"/>
        <v>58.585800000000006</v>
      </c>
    </row>
    <row r="288" spans="1:26" x14ac:dyDescent="0.3">
      <c r="A288" t="s">
        <v>1067</v>
      </c>
      <c r="B288" s="5">
        <f>VLOOKUP(A288,Dim!A:B,2)</f>
        <v>3.95</v>
      </c>
      <c r="C288">
        <v>3.65</v>
      </c>
      <c r="D288">
        <v>0.67</v>
      </c>
      <c r="E288">
        <v>0</v>
      </c>
      <c r="F288" s="1">
        <v>6.0400000000000002E-2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 s="1">
        <v>0</v>
      </c>
      <c r="N288" s="1">
        <v>0</v>
      </c>
      <c r="O288">
        <v>0</v>
      </c>
      <c r="P288" s="1">
        <v>0</v>
      </c>
      <c r="Q288" s="1">
        <v>0.1825</v>
      </c>
      <c r="R288" s="3">
        <v>16002.3</v>
      </c>
      <c r="S288" s="3">
        <v>14829400000</v>
      </c>
      <c r="T288">
        <v>0</v>
      </c>
      <c r="U288" s="1">
        <v>8.1199999999999994E-2</v>
      </c>
      <c r="V288" s="4">
        <f t="shared" si="20"/>
        <v>5.0333333333333332E-3</v>
      </c>
      <c r="W288" s="5">
        <f t="shared" si="21"/>
        <v>1.9881666666666666E-2</v>
      </c>
      <c r="X288">
        <f t="shared" si="22"/>
        <v>200</v>
      </c>
      <c r="Y288" s="5">
        <f t="shared" si="23"/>
        <v>790</v>
      </c>
      <c r="Z288" s="5">
        <f t="shared" si="24"/>
        <v>3.9763333333333333</v>
      </c>
    </row>
    <row r="289" spans="1:26" x14ac:dyDescent="0.3">
      <c r="A289" t="s">
        <v>1066</v>
      </c>
      <c r="B289" s="5">
        <f>VLOOKUP(A289,Dim!A:B,2)</f>
        <v>5.74</v>
      </c>
      <c r="C289">
        <v>3.61</v>
      </c>
      <c r="D289">
        <v>0.84</v>
      </c>
      <c r="E289">
        <v>0.93400000000000005</v>
      </c>
      <c r="F289" s="1">
        <v>3.5900000000000001E-2</v>
      </c>
      <c r="G289">
        <v>0.58799999999999997</v>
      </c>
      <c r="H289">
        <v>8.59</v>
      </c>
      <c r="I289">
        <v>7.17</v>
      </c>
      <c r="J289">
        <v>-4.99</v>
      </c>
      <c r="K289">
        <v>7.23</v>
      </c>
      <c r="L289">
        <v>3.78</v>
      </c>
      <c r="M289" s="1">
        <v>0.1303</v>
      </c>
      <c r="N289" s="1">
        <v>0.25869999999999999</v>
      </c>
      <c r="O289">
        <v>1.61</v>
      </c>
      <c r="P289" s="1">
        <v>9.0999999999999998E-2</v>
      </c>
      <c r="Q289" s="1">
        <v>0.23250000000000001</v>
      </c>
      <c r="R289" s="3">
        <v>55026.9</v>
      </c>
      <c r="S289" s="3">
        <v>160407000</v>
      </c>
      <c r="T289">
        <v>0.12</v>
      </c>
      <c r="U289" s="1">
        <v>4.6600000000000003E-2</v>
      </c>
      <c r="V289" s="4">
        <f t="shared" si="20"/>
        <v>2.9916666666666668E-3</v>
      </c>
      <c r="W289" s="5">
        <f t="shared" si="21"/>
        <v>1.7172166666666669E-2</v>
      </c>
      <c r="X289">
        <f t="shared" si="22"/>
        <v>336</v>
      </c>
      <c r="Y289" s="5">
        <f t="shared" si="23"/>
        <v>1928.64</v>
      </c>
      <c r="Z289" s="5">
        <f t="shared" si="24"/>
        <v>5.7698480000000005</v>
      </c>
    </row>
    <row r="290" spans="1:26" x14ac:dyDescent="0.3">
      <c r="A290" t="s">
        <v>1060</v>
      </c>
      <c r="B290" s="5">
        <f>VLOOKUP(A290,Dim!A:B,2)</f>
        <v>29.95</v>
      </c>
      <c r="C290">
        <v>3.24</v>
      </c>
      <c r="D290">
        <v>0.85</v>
      </c>
      <c r="E290">
        <v>0.47799999999999998</v>
      </c>
      <c r="F290" s="1">
        <v>4.58E-2</v>
      </c>
      <c r="G290">
        <v>0.44700000000000001</v>
      </c>
      <c r="H290">
        <v>7.31</v>
      </c>
      <c r="I290">
        <v>3.6</v>
      </c>
      <c r="J290">
        <v>-6.19</v>
      </c>
      <c r="K290">
        <v>4.7</v>
      </c>
      <c r="L290">
        <v>3.62</v>
      </c>
      <c r="M290" s="1">
        <v>0.1328</v>
      </c>
      <c r="N290" s="1">
        <v>0.14729999999999999</v>
      </c>
      <c r="O290">
        <v>1.18</v>
      </c>
      <c r="P290" s="1">
        <v>0.13320000000000001</v>
      </c>
      <c r="Q290" s="1">
        <v>0.2611</v>
      </c>
      <c r="R290" s="3">
        <v>22182.2</v>
      </c>
      <c r="S290" s="3">
        <v>332505000</v>
      </c>
      <c r="T290">
        <v>0.28999999999999998</v>
      </c>
      <c r="U290" s="1">
        <v>0.17069999999999999</v>
      </c>
      <c r="V290" s="4">
        <f t="shared" si="20"/>
        <v>3.8166666666666666E-3</v>
      </c>
      <c r="W290" s="5">
        <f t="shared" si="21"/>
        <v>0.11430916666666666</v>
      </c>
      <c r="X290">
        <f t="shared" si="22"/>
        <v>264</v>
      </c>
      <c r="Y290" s="5">
        <f t="shared" si="23"/>
        <v>7906.8</v>
      </c>
      <c r="Z290" s="5">
        <f t="shared" si="24"/>
        <v>30.177619999999997</v>
      </c>
    </row>
    <row r="291" spans="1:26" x14ac:dyDescent="0.3">
      <c r="A291" t="s">
        <v>1052</v>
      </c>
      <c r="B291" s="5">
        <f>VLOOKUP(A291,Dim!A:B,2)</f>
        <v>29.95</v>
      </c>
      <c r="C291">
        <v>2.89</v>
      </c>
      <c r="D291">
        <v>0.75</v>
      </c>
      <c r="E291">
        <v>0.42499999999999999</v>
      </c>
      <c r="F291" s="1">
        <v>5.6599999999999998E-2</v>
      </c>
      <c r="G291">
        <v>0.39800000000000002</v>
      </c>
      <c r="H291">
        <v>6.51</v>
      </c>
      <c r="I291">
        <v>3.2</v>
      </c>
      <c r="J291">
        <v>-5.52</v>
      </c>
      <c r="K291">
        <v>4.3</v>
      </c>
      <c r="L291">
        <v>3.31</v>
      </c>
      <c r="M291" s="1">
        <v>0.1328</v>
      </c>
      <c r="N291" s="1">
        <v>0.14729999999999999</v>
      </c>
      <c r="O291">
        <v>1.18</v>
      </c>
      <c r="P291" s="1">
        <v>0.13320000000000001</v>
      </c>
      <c r="Q291" s="1">
        <v>0.2611</v>
      </c>
      <c r="R291" s="3">
        <v>159365</v>
      </c>
      <c r="S291" s="3">
        <v>332505000</v>
      </c>
      <c r="T291">
        <v>0.28999999999999998</v>
      </c>
      <c r="U291" s="1">
        <v>0.17069999999999999</v>
      </c>
      <c r="V291" s="4">
        <f t="shared" si="20"/>
        <v>4.7166666666666668E-3</v>
      </c>
      <c r="W291" s="5">
        <f t="shared" si="21"/>
        <v>0.14126416666666666</v>
      </c>
      <c r="X291">
        <f t="shared" si="22"/>
        <v>214</v>
      </c>
      <c r="Y291" s="5">
        <f t="shared" si="23"/>
        <v>6409.3</v>
      </c>
      <c r="Z291" s="5">
        <f t="shared" si="24"/>
        <v>30.230531666666664</v>
      </c>
    </row>
    <row r="292" spans="1:26" x14ac:dyDescent="0.3">
      <c r="A292" t="s">
        <v>1050</v>
      </c>
      <c r="B292" s="5">
        <f>VLOOKUP(A292,Dim!A:B,2)</f>
        <v>3.95</v>
      </c>
      <c r="C292">
        <v>2.5099999999999998</v>
      </c>
      <c r="D292">
        <v>0.75</v>
      </c>
      <c r="E292">
        <v>13.038</v>
      </c>
      <c r="F292" s="1">
        <v>7.8E-2</v>
      </c>
      <c r="G292">
        <v>0.58399999999999996</v>
      </c>
      <c r="H292">
        <v>0.85</v>
      </c>
      <c r="I292">
        <v>-10.29</v>
      </c>
      <c r="J292">
        <v>0.93</v>
      </c>
      <c r="K292">
        <v>-2.17</v>
      </c>
      <c r="L292">
        <v>-2.1800000000000002</v>
      </c>
      <c r="M292" s="1">
        <v>-1.2674000000000001</v>
      </c>
      <c r="N292" s="1">
        <v>5.1860999999999997</v>
      </c>
      <c r="O292">
        <v>5.35</v>
      </c>
      <c r="P292" s="1">
        <v>-0.11260000000000001</v>
      </c>
      <c r="Q292" s="1">
        <v>0.2969</v>
      </c>
      <c r="R292" s="3">
        <v>16400.5</v>
      </c>
      <c r="S292" s="3">
        <v>258956000</v>
      </c>
      <c r="T292">
        <v>0.01</v>
      </c>
      <c r="U292" s="1">
        <v>-0.10059999999999999</v>
      </c>
      <c r="V292" s="4">
        <f t="shared" si="20"/>
        <v>6.4999999999999997E-3</v>
      </c>
      <c r="W292" s="5">
        <f t="shared" si="21"/>
        <v>2.5675E-2</v>
      </c>
      <c r="X292">
        <f t="shared" si="22"/>
        <v>155</v>
      </c>
      <c r="Y292" s="5">
        <f t="shared" si="23"/>
        <v>612.25</v>
      </c>
      <c r="Z292" s="5">
        <f t="shared" si="24"/>
        <v>3.979625</v>
      </c>
    </row>
    <row r="293" spans="1:26" x14ac:dyDescent="0.3">
      <c r="A293" t="s">
        <v>1046</v>
      </c>
      <c r="B293" s="5">
        <f>VLOOKUP(A293,Dim!A:B,2)</f>
        <v>5.74</v>
      </c>
      <c r="C293">
        <v>2.23</v>
      </c>
      <c r="D293">
        <v>0.34</v>
      </c>
      <c r="E293">
        <v>7.2999999999999995E-2</v>
      </c>
      <c r="F293" s="1">
        <v>0.35670000000000002</v>
      </c>
      <c r="G293">
        <v>0.17100000000000001</v>
      </c>
      <c r="H293">
        <v>0.56000000000000005</v>
      </c>
      <c r="I293">
        <v>-8.91</v>
      </c>
      <c r="J293">
        <v>0.59</v>
      </c>
      <c r="K293">
        <v>-14.31</v>
      </c>
      <c r="L293">
        <v>-93.94</v>
      </c>
      <c r="M293" s="1">
        <v>-8.2000000000000007E-3</v>
      </c>
      <c r="N293" s="1">
        <v>3.27E-2</v>
      </c>
      <c r="O293">
        <v>1.64</v>
      </c>
      <c r="P293" s="1">
        <v>-2.5600000000000001E-2</v>
      </c>
      <c r="Q293" s="1">
        <v>0.15310000000000001</v>
      </c>
      <c r="R293">
        <v>0</v>
      </c>
      <c r="S293" s="3">
        <v>276149000</v>
      </c>
      <c r="T293">
        <v>0.26</v>
      </c>
      <c r="U293" s="1">
        <v>0.21510000000000001</v>
      </c>
      <c r="V293" s="4">
        <f t="shared" si="20"/>
        <v>2.9725000000000001E-2</v>
      </c>
      <c r="W293" s="5">
        <f t="shared" si="21"/>
        <v>0.17062150000000001</v>
      </c>
      <c r="X293">
        <f t="shared" si="22"/>
        <v>35</v>
      </c>
      <c r="Y293" s="5">
        <f t="shared" si="23"/>
        <v>200.9</v>
      </c>
      <c r="Z293" s="5">
        <f t="shared" si="24"/>
        <v>5.9717525</v>
      </c>
    </row>
    <row r="294" spans="1:26" x14ac:dyDescent="0.3">
      <c r="A294" t="s">
        <v>968</v>
      </c>
      <c r="B294" s="5">
        <f>VLOOKUP(A294,Dim!A:B,2)</f>
        <v>3.95</v>
      </c>
      <c r="C294">
        <v>0</v>
      </c>
      <c r="D294">
        <v>0.82</v>
      </c>
      <c r="E294">
        <v>0</v>
      </c>
      <c r="F294" s="1">
        <v>0.35720000000000002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 s="1">
        <v>0</v>
      </c>
      <c r="N294" s="1">
        <v>0</v>
      </c>
      <c r="O294">
        <v>0</v>
      </c>
      <c r="P294" s="1">
        <v>0</v>
      </c>
      <c r="Q294" s="1">
        <v>0</v>
      </c>
      <c r="R294">
        <v>0</v>
      </c>
      <c r="S294" s="3">
        <v>876492000</v>
      </c>
      <c r="T294">
        <v>0</v>
      </c>
      <c r="U294" s="1">
        <v>0</v>
      </c>
      <c r="V294" s="4">
        <f t="shared" si="20"/>
        <v>2.9766666666666667E-2</v>
      </c>
      <c r="W294" s="5">
        <f t="shared" si="21"/>
        <v>0.11757833333333334</v>
      </c>
      <c r="X294">
        <f t="shared" si="22"/>
        <v>35</v>
      </c>
      <c r="Y294" s="5">
        <f t="shared" si="23"/>
        <v>138.25</v>
      </c>
      <c r="Z294" s="5">
        <f t="shared" si="24"/>
        <v>4.1152416666666669</v>
      </c>
    </row>
    <row r="295" spans="1:26" x14ac:dyDescent="0.3">
      <c r="A295" t="s">
        <v>840</v>
      </c>
      <c r="B295" s="5">
        <f>VLOOKUP(A295,Dim!A:B,2)</f>
        <v>22.54</v>
      </c>
      <c r="C295">
        <v>-0.56999999999999995</v>
      </c>
      <c r="D295">
        <v>0.05</v>
      </c>
      <c r="E295">
        <v>0.69499999999999995</v>
      </c>
      <c r="F295" s="1">
        <v>12.0289</v>
      </c>
      <c r="G295">
        <v>3.7999999999999999E-2</v>
      </c>
      <c r="H295">
        <v>1.73</v>
      </c>
      <c r="I295">
        <v>12.11</v>
      </c>
      <c r="J295">
        <v>-0.49</v>
      </c>
      <c r="K295">
        <v>-3.7</v>
      </c>
      <c r="L295">
        <v>-2.5499999999999998</v>
      </c>
      <c r="M295" s="1">
        <v>5.74E-2</v>
      </c>
      <c r="N295" s="1">
        <v>-1.2398</v>
      </c>
      <c r="O295">
        <v>1.1200000000000001</v>
      </c>
      <c r="P295" s="1">
        <v>3.5000000000000001E-3</v>
      </c>
      <c r="Q295" s="1">
        <v>-9.3399999999999997E-2</v>
      </c>
      <c r="R295">
        <v>0</v>
      </c>
      <c r="S295" s="3">
        <v>1136910000</v>
      </c>
      <c r="T295">
        <v>7.0000000000000007E-2</v>
      </c>
      <c r="U295" s="1">
        <v>-0.2505</v>
      </c>
      <c r="V295" s="4">
        <f t="shared" si="20"/>
        <v>1.0024083333333333</v>
      </c>
      <c r="W295" s="5">
        <f t="shared" si="21"/>
        <v>22.594283833333332</v>
      </c>
      <c r="X295">
        <f t="shared" si="22"/>
        <v>2</v>
      </c>
      <c r="Y295" s="5">
        <f t="shared" si="23"/>
        <v>45.08</v>
      </c>
      <c r="Z295" s="5">
        <f t="shared" si="24"/>
        <v>45.188567666666664</v>
      </c>
    </row>
    <row r="296" spans="1:26" x14ac:dyDescent="0.3">
      <c r="A296" t="s">
        <v>734</v>
      </c>
      <c r="B296" s="5">
        <f>VLOOKUP(A296,Dim!A:B,2)</f>
        <v>5.74</v>
      </c>
      <c r="C296">
        <v>-5.31</v>
      </c>
      <c r="D296">
        <v>0.81</v>
      </c>
      <c r="E296">
        <v>0.155</v>
      </c>
      <c r="F296" s="1">
        <v>6.0100000000000001E-2</v>
      </c>
      <c r="G296">
        <v>0.106</v>
      </c>
      <c r="H296">
        <v>0.37</v>
      </c>
      <c r="I296">
        <v>131.21</v>
      </c>
      <c r="J296">
        <v>-0.74</v>
      </c>
      <c r="K296">
        <v>88.8</v>
      </c>
      <c r="L296">
        <v>1.92</v>
      </c>
      <c r="M296" s="1">
        <v>1.1999999999999999E-3</v>
      </c>
      <c r="N296" s="1">
        <v>-2.9100000000000001E-2</v>
      </c>
      <c r="O296">
        <v>1.65</v>
      </c>
      <c r="P296" s="1">
        <v>1.1000000000000001E-3</v>
      </c>
      <c r="Q296" s="1">
        <v>-0.1522</v>
      </c>
      <c r="R296" s="3">
        <v>6689370</v>
      </c>
      <c r="S296" s="3">
        <v>489790000</v>
      </c>
      <c r="T296">
        <v>1.01</v>
      </c>
      <c r="U296" s="1">
        <v>7.6600000000000001E-2</v>
      </c>
      <c r="V296" s="4">
        <f t="shared" si="20"/>
        <v>5.0083333333333334E-3</v>
      </c>
      <c r="W296" s="5">
        <f t="shared" si="21"/>
        <v>2.8747833333333334E-2</v>
      </c>
      <c r="X296">
        <f t="shared" si="22"/>
        <v>201</v>
      </c>
      <c r="Y296" s="5">
        <f t="shared" si="23"/>
        <v>1153.74</v>
      </c>
      <c r="Z296" s="5">
        <f t="shared" si="24"/>
        <v>5.7783145000000005</v>
      </c>
    </row>
    <row r="297" spans="1:26" x14ac:dyDescent="0.3">
      <c r="A297" t="s">
        <v>732</v>
      </c>
      <c r="B297" s="5">
        <f>VLOOKUP(A297,Dim!A:B,2)</f>
        <v>106.55</v>
      </c>
      <c r="C297">
        <v>-5.47</v>
      </c>
      <c r="D297">
        <v>0.89</v>
      </c>
      <c r="E297">
        <v>0.27600000000000002</v>
      </c>
      <c r="F297" s="1">
        <v>5.91E-2</v>
      </c>
      <c r="G297">
        <v>0.122</v>
      </c>
      <c r="H297">
        <v>1.38</v>
      </c>
      <c r="I297">
        <v>2.17</v>
      </c>
      <c r="J297">
        <v>-0.25</v>
      </c>
      <c r="K297">
        <v>7.87</v>
      </c>
      <c r="L297">
        <v>4.62</v>
      </c>
      <c r="M297" s="1">
        <v>0.12720000000000001</v>
      </c>
      <c r="N297" s="1">
        <v>-3.7999999999999999E-2</v>
      </c>
      <c r="O297">
        <v>1.35</v>
      </c>
      <c r="P297" s="1">
        <v>7.5899999999999995E-2</v>
      </c>
      <c r="Q297" s="1">
        <v>-0.16239999999999999</v>
      </c>
      <c r="R297" s="3">
        <v>62736200</v>
      </c>
      <c r="S297" s="3">
        <v>13904000000</v>
      </c>
      <c r="T297">
        <v>3.71</v>
      </c>
      <c r="U297" s="1">
        <v>-3.0999999999999999E-3</v>
      </c>
      <c r="V297" s="4">
        <f t="shared" si="20"/>
        <v>4.9249999999999997E-3</v>
      </c>
      <c r="W297" s="5">
        <f t="shared" si="21"/>
        <v>0.52475874999999994</v>
      </c>
      <c r="X297">
        <f t="shared" si="22"/>
        <v>205</v>
      </c>
      <c r="Y297" s="5">
        <f t="shared" si="23"/>
        <v>21842.75</v>
      </c>
      <c r="Z297" s="5">
        <f t="shared" si="24"/>
        <v>107.57554374999999</v>
      </c>
    </row>
    <row r="298" spans="1:26" x14ac:dyDescent="0.3">
      <c r="A298" t="s">
        <v>693</v>
      </c>
      <c r="B298" s="5">
        <f>VLOOKUP(A298,Dim!A:B,2)</f>
        <v>58</v>
      </c>
      <c r="C298">
        <v>-16.07</v>
      </c>
      <c r="D298">
        <v>0.89</v>
      </c>
      <c r="E298">
        <v>1.0189999999999999</v>
      </c>
      <c r="F298" s="1">
        <v>5.3E-3</v>
      </c>
      <c r="G298">
        <v>0.22900000000000001</v>
      </c>
      <c r="H298">
        <v>4.84</v>
      </c>
      <c r="I298">
        <v>7.14</v>
      </c>
      <c r="J298">
        <v>-0.43</v>
      </c>
      <c r="K298">
        <v>19.649999999999999</v>
      </c>
      <c r="L298">
        <v>11.67</v>
      </c>
      <c r="M298" s="1">
        <v>0.14269999999999999</v>
      </c>
      <c r="N298" s="1">
        <v>-5.2600000000000001E-2</v>
      </c>
      <c r="O298">
        <v>1.36</v>
      </c>
      <c r="P298" s="1">
        <v>3.6499999999999998E-2</v>
      </c>
      <c r="Q298" s="1">
        <v>-5.5199999999999999E-2</v>
      </c>
      <c r="R298" s="3">
        <v>51532400</v>
      </c>
      <c r="S298" s="3">
        <v>12683800000</v>
      </c>
      <c r="T298">
        <v>1.95</v>
      </c>
      <c r="U298" s="1">
        <v>0.36499999999999999</v>
      </c>
      <c r="V298" s="4">
        <f t="shared" si="20"/>
        <v>4.4166666666666665E-4</v>
      </c>
      <c r="W298" s="5">
        <f t="shared" si="21"/>
        <v>2.5616666666666666E-2</v>
      </c>
      <c r="X298">
        <f t="shared" si="22"/>
        <v>2266</v>
      </c>
      <c r="Y298" s="5">
        <f t="shared" si="23"/>
        <v>131428</v>
      </c>
      <c r="Z298" s="5">
        <f t="shared" si="24"/>
        <v>58.047366666666669</v>
      </c>
    </row>
    <row r="299" spans="1:26" x14ac:dyDescent="0.3">
      <c r="A299" t="s">
        <v>680</v>
      </c>
      <c r="B299" s="5">
        <f>VLOOKUP(A299,Dim!A:B,2)</f>
        <v>5.74</v>
      </c>
      <c r="C299">
        <v>-22.56</v>
      </c>
      <c r="D299">
        <v>0.31</v>
      </c>
      <c r="E299">
        <v>1.486</v>
      </c>
      <c r="F299" s="1">
        <v>3.3E-3</v>
      </c>
      <c r="G299">
        <v>0.17699999999999999</v>
      </c>
      <c r="H299">
        <v>14.77</v>
      </c>
      <c r="I299">
        <v>-23.55</v>
      </c>
      <c r="J299">
        <v>-0.52</v>
      </c>
      <c r="K299">
        <v>-37.840000000000003</v>
      </c>
      <c r="L299">
        <v>87.44</v>
      </c>
      <c r="M299" s="1">
        <v>-6.3100000000000003E-2</v>
      </c>
      <c r="N299" s="1">
        <v>-6.59E-2</v>
      </c>
      <c r="O299">
        <v>1.1499999999999999</v>
      </c>
      <c r="P299" s="1">
        <v>-7.9000000000000008E-3</v>
      </c>
      <c r="Q299" s="1">
        <v>-1.38E-2</v>
      </c>
      <c r="R299">
        <v>930.51</v>
      </c>
      <c r="S299" s="3">
        <v>824257000</v>
      </c>
      <c r="T299">
        <v>0.26</v>
      </c>
      <c r="U299" s="1">
        <v>5.74E-2</v>
      </c>
      <c r="V299" s="4">
        <f t="shared" si="20"/>
        <v>2.7500000000000002E-4</v>
      </c>
      <c r="W299" s="5">
        <f t="shared" si="21"/>
        <v>1.5785000000000003E-3</v>
      </c>
      <c r="X299">
        <f t="shared" si="22"/>
        <v>3638</v>
      </c>
      <c r="Y299" s="5">
        <f t="shared" si="23"/>
        <v>20882.12</v>
      </c>
      <c r="Z299" s="5">
        <f t="shared" si="24"/>
        <v>5.7425830000000007</v>
      </c>
    </row>
    <row r="300" spans="1:26" x14ac:dyDescent="0.3">
      <c r="A300" t="s">
        <v>676</v>
      </c>
      <c r="B300" s="5">
        <f>VLOOKUP(A300,Dim!A:B,2)</f>
        <v>5.74</v>
      </c>
      <c r="C300">
        <v>-22.99</v>
      </c>
      <c r="D300">
        <v>1.88</v>
      </c>
      <c r="E300">
        <v>0</v>
      </c>
      <c r="F300" s="1">
        <v>7.1000000000000004E-3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 s="1">
        <v>0</v>
      </c>
      <c r="N300" s="1">
        <v>0</v>
      </c>
      <c r="O300">
        <v>0</v>
      </c>
      <c r="P300" s="1">
        <v>0</v>
      </c>
      <c r="Q300" s="1">
        <v>-8.1699999999999995E-2</v>
      </c>
      <c r="R300">
        <v>0</v>
      </c>
      <c r="S300" s="3">
        <v>1154890000</v>
      </c>
      <c r="T300">
        <v>0</v>
      </c>
      <c r="U300" s="1">
        <v>-0.62370000000000003</v>
      </c>
      <c r="V300" s="4">
        <f t="shared" si="20"/>
        <v>5.9166666666666666E-4</v>
      </c>
      <c r="W300" s="5">
        <f t="shared" si="21"/>
        <v>3.3961666666666667E-3</v>
      </c>
      <c r="X300">
        <f t="shared" si="22"/>
        <v>1692</v>
      </c>
      <c r="Y300" s="5">
        <f t="shared" si="23"/>
        <v>9712.08</v>
      </c>
      <c r="Z300" s="5">
        <f t="shared" si="24"/>
        <v>5.7463139999999999</v>
      </c>
    </row>
    <row r="301" spans="1:26" x14ac:dyDescent="0.3">
      <c r="A301" t="s">
        <v>670</v>
      </c>
      <c r="B301" s="5">
        <f>VLOOKUP(A301,Dim!A:B,2)</f>
        <v>5.74</v>
      </c>
      <c r="C301">
        <v>-25.87</v>
      </c>
      <c r="D301">
        <v>0.36</v>
      </c>
      <c r="E301">
        <v>1.704</v>
      </c>
      <c r="F301" s="1">
        <v>2.5999999999999999E-3</v>
      </c>
      <c r="G301">
        <v>0.20300000000000001</v>
      </c>
      <c r="H301">
        <v>16.940000000000001</v>
      </c>
      <c r="I301">
        <v>-27</v>
      </c>
      <c r="J301">
        <v>-0.6</v>
      </c>
      <c r="K301">
        <v>-41.29</v>
      </c>
      <c r="L301">
        <v>95.41</v>
      </c>
      <c r="M301" s="1">
        <v>-6.3100000000000003E-2</v>
      </c>
      <c r="N301" s="1">
        <v>-6.59E-2</v>
      </c>
      <c r="O301">
        <v>1.1499999999999999</v>
      </c>
      <c r="P301" s="1">
        <v>-7.9000000000000008E-3</v>
      </c>
      <c r="Q301" s="1">
        <v>-1.38E-2</v>
      </c>
      <c r="R301" s="3">
        <v>3747.67</v>
      </c>
      <c r="S301" s="3">
        <v>824257000</v>
      </c>
      <c r="T301">
        <v>0.26</v>
      </c>
      <c r="U301" s="1">
        <v>5.74E-2</v>
      </c>
      <c r="V301" s="4">
        <f t="shared" si="20"/>
        <v>2.1666666666666666E-4</v>
      </c>
      <c r="W301" s="5">
        <f t="shared" si="21"/>
        <v>1.2436666666666666E-3</v>
      </c>
      <c r="X301">
        <f t="shared" si="22"/>
        <v>4617</v>
      </c>
      <c r="Y301" s="5">
        <f t="shared" si="23"/>
        <v>26501.58</v>
      </c>
      <c r="Z301" s="5">
        <f t="shared" si="24"/>
        <v>5.7420089999999995</v>
      </c>
    </row>
    <row r="302" spans="1:26" x14ac:dyDescent="0.3">
      <c r="A302" t="s">
        <v>659</v>
      </c>
      <c r="B302" s="5">
        <f>VLOOKUP(A302,Dim!A:B,2)</f>
        <v>58</v>
      </c>
      <c r="C302">
        <v>-33.21</v>
      </c>
      <c r="D302">
        <v>15.32</v>
      </c>
      <c r="E302">
        <v>3</v>
      </c>
      <c r="F302" s="1">
        <v>1.21E-2</v>
      </c>
      <c r="G302">
        <v>1.8360000000000001</v>
      </c>
      <c r="H302">
        <v>64.09</v>
      </c>
      <c r="I302">
        <v>6.88</v>
      </c>
      <c r="J302">
        <v>-2.95</v>
      </c>
      <c r="K302">
        <v>7.8</v>
      </c>
      <c r="L302">
        <v>7.8</v>
      </c>
      <c r="M302" s="1">
        <v>0.436</v>
      </c>
      <c r="N302" s="1">
        <v>-9.0300000000000005E-2</v>
      </c>
      <c r="O302">
        <v>1.1200000000000001</v>
      </c>
      <c r="P302" s="1">
        <v>0.3508</v>
      </c>
      <c r="Q302" s="1">
        <v>-0.4612</v>
      </c>
      <c r="R302" s="3">
        <v>40421900</v>
      </c>
      <c r="S302" s="3">
        <v>762704000</v>
      </c>
      <c r="T302">
        <v>3.25</v>
      </c>
      <c r="U302" s="1">
        <v>0.17230000000000001</v>
      </c>
      <c r="V302" s="4">
        <f t="shared" si="20"/>
        <v>1.0083333333333333E-3</v>
      </c>
      <c r="W302" s="5">
        <f t="shared" si="21"/>
        <v>5.8483333333333332E-2</v>
      </c>
      <c r="X302">
        <f t="shared" si="22"/>
        <v>993</v>
      </c>
      <c r="Y302" s="5">
        <f t="shared" si="23"/>
        <v>57594</v>
      </c>
      <c r="Z302" s="5">
        <f t="shared" si="24"/>
        <v>58.073949999999996</v>
      </c>
    </row>
    <row r="303" spans="1:26" x14ac:dyDescent="0.3">
      <c r="A303" t="s">
        <v>653</v>
      </c>
      <c r="B303" s="5">
        <f>VLOOKUP(A303,Dim!A:B,2)</f>
        <v>5.74</v>
      </c>
      <c r="C303">
        <v>-43.28</v>
      </c>
      <c r="D303">
        <v>1.03</v>
      </c>
      <c r="E303">
        <v>0</v>
      </c>
      <c r="F303" s="1">
        <v>0.66839999999999999</v>
      </c>
      <c r="G303">
        <v>0.45400000000000001</v>
      </c>
      <c r="H303">
        <v>1.04</v>
      </c>
      <c r="I303">
        <v>-35.71</v>
      </c>
      <c r="J303">
        <v>11.86</v>
      </c>
      <c r="K303">
        <v>-19.66</v>
      </c>
      <c r="L303">
        <v>-20.18</v>
      </c>
      <c r="M303" s="1">
        <v>0</v>
      </c>
      <c r="N303" s="1">
        <v>0</v>
      </c>
      <c r="O303">
        <v>3.68</v>
      </c>
      <c r="P303" s="1">
        <v>-2.8899999999999999E-2</v>
      </c>
      <c r="Q303" s="1">
        <v>-2.3800000000000002E-2</v>
      </c>
      <c r="R303" s="3">
        <v>76285.3</v>
      </c>
      <c r="S303" s="3">
        <v>894480000</v>
      </c>
      <c r="T303">
        <v>0.81</v>
      </c>
      <c r="U303" s="1">
        <v>-0.99960000000000004</v>
      </c>
      <c r="V303" s="4">
        <f t="shared" si="20"/>
        <v>5.57E-2</v>
      </c>
      <c r="W303" s="5">
        <f t="shared" si="21"/>
        <v>0.319718</v>
      </c>
      <c r="X303">
        <f t="shared" si="22"/>
        <v>19</v>
      </c>
      <c r="Y303" s="5">
        <f t="shared" si="23"/>
        <v>109.06</v>
      </c>
      <c r="Z303" s="5">
        <f t="shared" si="24"/>
        <v>6.0746419999999999</v>
      </c>
    </row>
    <row r="304" spans="1:26" x14ac:dyDescent="0.3">
      <c r="A304" t="s">
        <v>632</v>
      </c>
      <c r="B304" s="5">
        <f>VLOOKUP(A304,Dim!A:B,2)</f>
        <v>5.74</v>
      </c>
      <c r="C304">
        <v>-90.95</v>
      </c>
      <c r="D304">
        <v>4.38</v>
      </c>
      <c r="E304">
        <v>7.8849999999999998</v>
      </c>
      <c r="F304" s="1">
        <v>1.52E-2</v>
      </c>
      <c r="G304">
        <v>2.7450000000000001</v>
      </c>
      <c r="H304">
        <v>11.96</v>
      </c>
      <c r="I304">
        <v>53.17</v>
      </c>
      <c r="J304">
        <v>47.06</v>
      </c>
      <c r="K304">
        <v>51.49</v>
      </c>
      <c r="L304">
        <v>22.97</v>
      </c>
      <c r="M304" s="1">
        <v>0.14829999999999999</v>
      </c>
      <c r="N304" s="1">
        <v>-8.6699999999999999E-2</v>
      </c>
      <c r="O304">
        <v>2.14</v>
      </c>
      <c r="P304" s="1">
        <v>6.8199999999999997E-2</v>
      </c>
      <c r="Q304" s="1">
        <v>-4.8099999999999997E-2</v>
      </c>
      <c r="R304">
        <v>0</v>
      </c>
      <c r="S304" s="3">
        <v>1619010000</v>
      </c>
      <c r="T304">
        <v>0.22</v>
      </c>
      <c r="U304" s="1">
        <v>0.15540000000000001</v>
      </c>
      <c r="V304" s="4">
        <f t="shared" si="20"/>
        <v>1.2666666666666666E-3</v>
      </c>
      <c r="W304" s="5">
        <f t="shared" si="21"/>
        <v>7.2706666666666666E-3</v>
      </c>
      <c r="X304">
        <f t="shared" si="22"/>
        <v>791</v>
      </c>
      <c r="Y304" s="5">
        <f t="shared" si="23"/>
        <v>4540.34</v>
      </c>
      <c r="Z304" s="5">
        <f t="shared" si="24"/>
        <v>5.7510973333333331</v>
      </c>
    </row>
    <row r="305" spans="1:26" x14ac:dyDescent="0.3">
      <c r="A305" t="s">
        <v>631</v>
      </c>
      <c r="B305" s="5">
        <f>VLOOKUP(A305,Dim!A:B,2)</f>
        <v>29.49</v>
      </c>
      <c r="C305">
        <v>-105.88</v>
      </c>
      <c r="D305">
        <v>1.02</v>
      </c>
      <c r="E305">
        <v>0.496</v>
      </c>
      <c r="F305" s="1">
        <v>7.7899999999999997E-2</v>
      </c>
      <c r="G305">
        <v>0.44900000000000001</v>
      </c>
      <c r="H305">
        <v>2.96</v>
      </c>
      <c r="I305">
        <v>8.6999999999999993</v>
      </c>
      <c r="J305">
        <v>-2.27</v>
      </c>
      <c r="K305">
        <v>8.9700000000000006</v>
      </c>
      <c r="L305">
        <v>3.2</v>
      </c>
      <c r="M305" s="1">
        <v>5.7000000000000002E-2</v>
      </c>
      <c r="N305" s="1">
        <v>-4.7000000000000002E-3</v>
      </c>
      <c r="O305">
        <v>1.72</v>
      </c>
      <c r="P305" s="1">
        <v>6.3799999999999996E-2</v>
      </c>
      <c r="Q305" s="1">
        <v>-9.5999999999999992E-3</v>
      </c>
      <c r="R305" s="3">
        <v>14289700</v>
      </c>
      <c r="S305" s="3">
        <v>1682180000</v>
      </c>
      <c r="T305">
        <v>0.25</v>
      </c>
      <c r="U305" s="1">
        <v>0.1734</v>
      </c>
      <c r="V305" s="4">
        <f t="shared" si="20"/>
        <v>6.4916666666666664E-3</v>
      </c>
      <c r="W305" s="5">
        <f t="shared" si="21"/>
        <v>0.19143924999999998</v>
      </c>
      <c r="X305">
        <f t="shared" si="22"/>
        <v>156</v>
      </c>
      <c r="Y305" s="5">
        <f t="shared" si="23"/>
        <v>4600.4399999999996</v>
      </c>
      <c r="Z305" s="5">
        <f t="shared" si="24"/>
        <v>29.864522999999995</v>
      </c>
    </row>
    <row r="306" spans="1:26" x14ac:dyDescent="0.3">
      <c r="A306" t="s">
        <v>614</v>
      </c>
      <c r="B306" s="5">
        <f>VLOOKUP(A306,Dim!A:B,2)</f>
        <v>29.49</v>
      </c>
      <c r="C306">
        <v>-739.04</v>
      </c>
      <c r="D306">
        <v>0.36</v>
      </c>
      <c r="E306">
        <v>0.16700000000000001</v>
      </c>
      <c r="F306" s="1">
        <v>6.7400000000000002E-2</v>
      </c>
      <c r="G306">
        <v>0.13800000000000001</v>
      </c>
      <c r="H306">
        <v>0.45</v>
      </c>
      <c r="I306">
        <v>2.56</v>
      </c>
      <c r="J306">
        <v>4.26</v>
      </c>
      <c r="K306">
        <v>5.29</v>
      </c>
      <c r="L306">
        <v>4.05</v>
      </c>
      <c r="M306" s="1">
        <v>6.54E-2</v>
      </c>
      <c r="N306" s="1">
        <v>1.6000000000000001E-3</v>
      </c>
      <c r="O306">
        <v>1.93</v>
      </c>
      <c r="P306" s="1">
        <v>7.4399999999999994E-2</v>
      </c>
      <c r="Q306" s="1">
        <v>-5.0000000000000001E-4</v>
      </c>
      <c r="R306" s="3">
        <v>4038950</v>
      </c>
      <c r="S306" s="3">
        <v>1597860000</v>
      </c>
      <c r="T306">
        <v>0.81</v>
      </c>
      <c r="U306" s="1">
        <v>3.2500000000000001E-2</v>
      </c>
      <c r="V306" s="4">
        <f t="shared" si="20"/>
        <v>5.6166666666666665E-3</v>
      </c>
      <c r="W306" s="5">
        <f t="shared" si="21"/>
        <v>0.16563549999999999</v>
      </c>
      <c r="X306">
        <f t="shared" si="22"/>
        <v>180</v>
      </c>
      <c r="Y306" s="5">
        <f t="shared" si="23"/>
        <v>5308.2</v>
      </c>
      <c r="Z306" s="5">
        <f t="shared" si="24"/>
        <v>29.81439</v>
      </c>
    </row>
    <row r="307" spans="1:26" x14ac:dyDescent="0.3">
      <c r="A307" t="s">
        <v>613</v>
      </c>
      <c r="B307" s="5">
        <f>VLOOKUP(A307,Dim!A:B,2)</f>
        <v>29.95</v>
      </c>
      <c r="C307" s="3">
        <v>-1433.65</v>
      </c>
      <c r="D307">
        <v>0.44</v>
      </c>
      <c r="E307">
        <v>0.48299999999999998</v>
      </c>
      <c r="F307" s="1">
        <v>2.8E-3</v>
      </c>
      <c r="G307">
        <v>0.30499999999999999</v>
      </c>
      <c r="H307">
        <v>0.65</v>
      </c>
      <c r="I307">
        <v>-6.42</v>
      </c>
      <c r="J307">
        <v>1.1399999999999999</v>
      </c>
      <c r="K307">
        <v>-7.78</v>
      </c>
      <c r="L307">
        <v>-14.85</v>
      </c>
      <c r="M307" s="1">
        <v>-7.5300000000000006E-2</v>
      </c>
      <c r="N307" s="1">
        <v>-2.9999999999999997E-4</v>
      </c>
      <c r="O307">
        <v>5.91</v>
      </c>
      <c r="P307" s="1">
        <v>-5.3600000000000002E-2</v>
      </c>
      <c r="Q307" s="1">
        <v>-2.9999999999999997E-4</v>
      </c>
      <c r="R307" s="3">
        <v>9324.02</v>
      </c>
      <c r="S307" s="3">
        <v>690209000</v>
      </c>
      <c r="T307">
        <v>0.22</v>
      </c>
      <c r="U307" s="1">
        <v>-2.0400000000000001E-2</v>
      </c>
      <c r="V307" s="4">
        <f t="shared" si="20"/>
        <v>2.3333333333333333E-4</v>
      </c>
      <c r="W307" s="5">
        <f t="shared" si="21"/>
        <v>6.9883333333333334E-3</v>
      </c>
      <c r="X307">
        <f t="shared" si="22"/>
        <v>4287</v>
      </c>
      <c r="Y307" s="5">
        <f t="shared" si="23"/>
        <v>128395.65</v>
      </c>
      <c r="Z307" s="5">
        <f t="shared" si="24"/>
        <v>29.958984999999998</v>
      </c>
    </row>
    <row r="308" spans="1:26" x14ac:dyDescent="0.3">
      <c r="A308" t="s">
        <v>612</v>
      </c>
      <c r="B308" s="5">
        <f>VLOOKUP(A308,Dim!A:B,2)</f>
        <v>29.95</v>
      </c>
      <c r="C308" s="3">
        <v>-2345</v>
      </c>
      <c r="D308">
        <v>0.71</v>
      </c>
      <c r="E308">
        <v>0.79100000000000004</v>
      </c>
      <c r="F308" s="1">
        <v>1.5E-3</v>
      </c>
      <c r="G308">
        <v>0.498</v>
      </c>
      <c r="H308">
        <v>1.06</v>
      </c>
      <c r="I308">
        <v>-10.5</v>
      </c>
      <c r="J308">
        <v>1.87</v>
      </c>
      <c r="K308">
        <v>-11.86</v>
      </c>
      <c r="L308">
        <v>-22.64</v>
      </c>
      <c r="M308" s="1">
        <v>-7.5300000000000006E-2</v>
      </c>
      <c r="N308" s="1">
        <v>-2.9999999999999997E-4</v>
      </c>
      <c r="O308">
        <v>5.91</v>
      </c>
      <c r="P308" s="1">
        <v>-5.3600000000000002E-2</v>
      </c>
      <c r="Q308" s="1">
        <v>-2.9999999999999997E-4</v>
      </c>
      <c r="R308">
        <v>0</v>
      </c>
      <c r="S308" s="3">
        <v>690209000</v>
      </c>
      <c r="T308">
        <v>0.22</v>
      </c>
      <c r="U308" s="1">
        <v>-2.0400000000000001E-2</v>
      </c>
      <c r="V308" s="4">
        <f t="shared" si="20"/>
        <v>1.25E-4</v>
      </c>
      <c r="W308" s="5">
        <f t="shared" si="21"/>
        <v>3.7437500000000001E-3</v>
      </c>
      <c r="X308">
        <f t="shared" si="22"/>
        <v>8001</v>
      </c>
      <c r="Y308" s="5">
        <f t="shared" si="23"/>
        <v>239629.94999999998</v>
      </c>
      <c r="Z308" s="5">
        <f t="shared" si="24"/>
        <v>29.953743750000001</v>
      </c>
    </row>
    <row r="309" spans="1:26" x14ac:dyDescent="0.3">
      <c r="A309" t="s">
        <v>611</v>
      </c>
      <c r="B309" s="5">
        <f>VLOOKUP(A309,Dim!A:B,2)</f>
        <v>5.74</v>
      </c>
      <c r="C309" s="3">
        <v>-3584.82</v>
      </c>
      <c r="D309">
        <v>5.84</v>
      </c>
      <c r="E309">
        <v>3.423</v>
      </c>
      <c r="F309" s="1">
        <v>2.3900000000000001E-2</v>
      </c>
      <c r="G309">
        <v>2.3780000000000001</v>
      </c>
      <c r="H309">
        <v>79.650000000000006</v>
      </c>
      <c r="I309">
        <v>87.05</v>
      </c>
      <c r="J309">
        <v>-6.21</v>
      </c>
      <c r="K309">
        <v>91.13</v>
      </c>
      <c r="L309">
        <v>50.88</v>
      </c>
      <c r="M309" s="1">
        <v>3.9300000000000002E-2</v>
      </c>
      <c r="N309" s="1">
        <v>-8.9999999999999998E-4</v>
      </c>
      <c r="O309">
        <v>1.17</v>
      </c>
      <c r="P309" s="1">
        <v>3.09E-2</v>
      </c>
      <c r="Q309" s="1">
        <v>-1.6000000000000001E-3</v>
      </c>
      <c r="R309">
        <v>0</v>
      </c>
      <c r="S309" s="3">
        <v>7116080000</v>
      </c>
      <c r="T309">
        <v>0.53</v>
      </c>
      <c r="U309" s="1">
        <v>0.25230000000000002</v>
      </c>
      <c r="V309" s="4">
        <f t="shared" si="20"/>
        <v>1.9916666666666668E-3</v>
      </c>
      <c r="W309" s="5">
        <f t="shared" si="21"/>
        <v>1.1432166666666667E-2</v>
      </c>
      <c r="X309">
        <f t="shared" si="22"/>
        <v>504</v>
      </c>
      <c r="Y309" s="5">
        <f t="shared" si="23"/>
        <v>2892.96</v>
      </c>
      <c r="Z309" s="5">
        <f t="shared" si="24"/>
        <v>5.7618119999999999</v>
      </c>
    </row>
    <row r="310" spans="1:26" x14ac:dyDescent="0.3">
      <c r="A310" t="s">
        <v>1212</v>
      </c>
      <c r="B310" s="5">
        <f>VLOOKUP(A310,Dim!A:B,2)</f>
        <v>0</v>
      </c>
      <c r="C310">
        <v>7.82</v>
      </c>
      <c r="D310">
        <v>1.24</v>
      </c>
      <c r="E310">
        <v>0</v>
      </c>
      <c r="F310" s="1">
        <v>6.3500000000000001E-2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 s="1">
        <v>0</v>
      </c>
      <c r="N310" s="1">
        <v>0</v>
      </c>
      <c r="O310">
        <v>0</v>
      </c>
      <c r="P310" s="1">
        <v>0</v>
      </c>
      <c r="Q310" s="1">
        <v>0.1583</v>
      </c>
      <c r="R310" s="3">
        <v>1276790</v>
      </c>
      <c r="S310" s="3">
        <v>93667400000</v>
      </c>
      <c r="T310">
        <v>0</v>
      </c>
      <c r="U310" s="1">
        <v>-8.6900000000000005E-2</v>
      </c>
      <c r="V310" s="4">
        <f t="shared" ref="V310:V312" si="25">F310/12</f>
        <v>5.2916666666666667E-3</v>
      </c>
      <c r="W310" s="5">
        <f t="shared" ref="W310:W312" si="26">V310*B310</f>
        <v>0</v>
      </c>
      <c r="X310" t="e">
        <f t="shared" ref="X310:X312" si="27">ROUNDUP((B310/W310),0)+1</f>
        <v>#DIV/0!</v>
      </c>
      <c r="Y310" s="5" t="e">
        <f t="shared" ref="Y310:Y312" si="28">X310*B310</f>
        <v>#DIV/0!</v>
      </c>
      <c r="Z310" s="5" t="e">
        <f t="shared" ref="Z310:Z312" si="29">X310*W310</f>
        <v>#DIV/0!</v>
      </c>
    </row>
    <row r="311" spans="1:26" x14ac:dyDescent="0.3">
      <c r="A311" t="s">
        <v>1202</v>
      </c>
      <c r="B311" s="5">
        <f>VLOOKUP(A311,Dim!A:B,2)</f>
        <v>0</v>
      </c>
      <c r="C311">
        <v>7.54</v>
      </c>
      <c r="D311">
        <v>1.19</v>
      </c>
      <c r="E311">
        <v>0</v>
      </c>
      <c r="F311" s="1">
        <v>6.2899999999999998E-2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 s="1">
        <v>0</v>
      </c>
      <c r="N311" s="1">
        <v>0</v>
      </c>
      <c r="O311">
        <v>0</v>
      </c>
      <c r="P311" s="1">
        <v>0</v>
      </c>
      <c r="Q311" s="1">
        <v>0.1583</v>
      </c>
      <c r="R311" s="3">
        <v>84479100</v>
      </c>
      <c r="S311" s="3">
        <v>93667400000</v>
      </c>
      <c r="T311">
        <v>0</v>
      </c>
      <c r="U311" s="1">
        <v>-8.6900000000000005E-2</v>
      </c>
      <c r="V311" s="4">
        <f t="shared" si="25"/>
        <v>5.2416666666666662E-3</v>
      </c>
      <c r="W311" s="5">
        <f t="shared" si="26"/>
        <v>0</v>
      </c>
      <c r="X311" t="e">
        <f t="shared" si="27"/>
        <v>#DIV/0!</v>
      </c>
      <c r="Y311" s="5" t="e">
        <f t="shared" si="28"/>
        <v>#DIV/0!</v>
      </c>
      <c r="Z311" s="5" t="e">
        <f t="shared" si="29"/>
        <v>#DIV/0!</v>
      </c>
    </row>
    <row r="312" spans="1:26" x14ac:dyDescent="0.3">
      <c r="A312" t="s">
        <v>1189</v>
      </c>
      <c r="B312" s="5">
        <f>VLOOKUP(A312,Dim!A:B,2)</f>
        <v>0</v>
      </c>
      <c r="C312">
        <v>7.2</v>
      </c>
      <c r="D312">
        <v>1.1399999999999999</v>
      </c>
      <c r="E312">
        <v>0</v>
      </c>
      <c r="F312" s="1">
        <v>6.2799999999999995E-2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 s="1">
        <v>0</v>
      </c>
      <c r="N312" s="1">
        <v>0</v>
      </c>
      <c r="O312">
        <v>0</v>
      </c>
      <c r="P312" s="1">
        <v>0</v>
      </c>
      <c r="Q312" s="1">
        <v>0.1583</v>
      </c>
      <c r="R312" s="3">
        <v>850790</v>
      </c>
      <c r="S312" s="3">
        <v>93667400000</v>
      </c>
      <c r="T312">
        <v>0</v>
      </c>
      <c r="U312" s="1">
        <v>-8.6900000000000005E-2</v>
      </c>
      <c r="V312" s="4">
        <f t="shared" si="25"/>
        <v>5.2333333333333329E-3</v>
      </c>
      <c r="W312" s="5">
        <f t="shared" si="26"/>
        <v>0</v>
      </c>
      <c r="X312" t="e">
        <f t="shared" si="27"/>
        <v>#DIV/0!</v>
      </c>
      <c r="Y312" s="5" t="e">
        <f t="shared" si="28"/>
        <v>#DIV/0!</v>
      </c>
      <c r="Z312" s="5" t="e">
        <f t="shared" si="29"/>
        <v>#DIV/0!</v>
      </c>
    </row>
  </sheetData>
  <autoFilter ref="A1:Z312" xr:uid="{CF7F6D3D-2A32-412B-8AEF-825D6FE58774}"/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3DB8A4-D4CC-4F98-8DD9-1242FAF22DA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FII's</vt:lpstr>
      <vt:lpstr>Dim</vt:lpstr>
      <vt:lpstr>ACOES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Rubens Anjos</dc:creator>
  <cp:lastModifiedBy>Rubens Anjos</cp:lastModifiedBy>
  <dcterms:created xsi:type="dcterms:W3CDTF">2025-10-07T15:58:39Z</dcterms:created>
  <dcterms:modified xsi:type="dcterms:W3CDTF">2025-11-03T14:21:36Z</dcterms:modified>
</cp:coreProperties>
</file>